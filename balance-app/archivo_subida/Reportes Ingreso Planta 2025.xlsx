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2jog\Downloads\"/>
    </mc:Choice>
  </mc:AlternateContent>
  <xr:revisionPtr revIDLastSave="0" documentId="13_ncr:1_{5A2C617E-E962-476D-BD75-B56BE6F35E0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NERO" sheetId="1" r:id="rId1"/>
    <sheet name="FEBRERO" sheetId="3" r:id="rId2"/>
    <sheet name="MARZO" sheetId="4" r:id="rId3"/>
    <sheet name="ABRI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6" i="2" l="1"/>
  <c r="P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P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P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ID#AAAAubIMzUE
CGutierrez    (2023-03-31 16:50:22)
Memoria de cálculo M3
Vol JAS por camión
Memoria de calculo m3st: 
2,4 m. de ancho
1,8 m. de alto prom.
3,20 m. de largo
4 bancos por camión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ID#AAAAubIMzUE
CGutierrez    (2023-03-31 16:50:22)
Memoria de cálculo M3
Vol JAS por camión
Memoria de calculo m3st: 
2,4 m. de ancho
1,8 m. de alto prom.
3,20 m. de largo
4 bancos por camión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ID#AAAAubIMzUE
CGutierrez    (2023-03-31 16:50:22)
Memoria de cálculo M3
Vol JAS por camión
Memoria de calculo m3st: 
2,4 m. de ancho
1,8 m. de alto prom.
3,20 m. de largo
4 bancos por camión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ID#AAAAubIMzUE
CGutierrez    (2023-03-31 16:50:22)
Memoria de cálculo M3
Vol JAS por camión
Memoria de calculo m3st: 
2,4 m. de ancho
1,8 m. de alto prom.
3,20 m. de largo
4 bancos por camión</t>
        </r>
      </text>
    </comment>
  </commentList>
</comments>
</file>

<file path=xl/sharedStrings.xml><?xml version="1.0" encoding="utf-8"?>
<sst xmlns="http://schemas.openxmlformats.org/spreadsheetml/2006/main" count="1959" uniqueCount="33">
  <si>
    <t>Folio</t>
  </si>
  <si>
    <t xml:space="preserve"> Numero Guía</t>
  </si>
  <si>
    <t>Fecha</t>
  </si>
  <si>
    <t>RUT</t>
  </si>
  <si>
    <t xml:space="preserve"> NOMBRE PROVEEDOR</t>
  </si>
  <si>
    <t xml:space="preserve">NOMBRE PROPIETARIO DEL PREDIO </t>
  </si>
  <si>
    <t xml:space="preserve">NOMBRE PREDIO </t>
  </si>
  <si>
    <t>COMUNA</t>
  </si>
  <si>
    <t>ff</t>
  </si>
  <si>
    <t>ROL</t>
  </si>
  <si>
    <t>Coordenadas 1</t>
  </si>
  <si>
    <t>Coordenadas 2</t>
  </si>
  <si>
    <t>Plan de Manejo o Uso Agrícola</t>
  </si>
  <si>
    <t>Descripción Gral.</t>
  </si>
  <si>
    <t>Descripción de material código FSC</t>
  </si>
  <si>
    <t>M3 o m3st</t>
  </si>
  <si>
    <t>M3 Final</t>
  </si>
  <si>
    <t>Categoría de Material</t>
  </si>
  <si>
    <t>Código FSC</t>
  </si>
  <si>
    <t>Dirección del Proveedor</t>
  </si>
  <si>
    <t>Comuna del Origen</t>
  </si>
  <si>
    <t>Contacto</t>
  </si>
  <si>
    <t>Persona de Contacto del Proveedor</t>
  </si>
  <si>
    <t>Email del proveedor</t>
  </si>
  <si>
    <t>Nombre cientifico de la especie forestal</t>
  </si>
  <si>
    <t>Nombre comun de la especie forestal</t>
  </si>
  <si>
    <t>86486300-0</t>
  </si>
  <si>
    <t>AGRICOLA Y FORESTAL NAGUILAN S.A.</t>
  </si>
  <si>
    <t>TANUME</t>
  </si>
  <si>
    <t>PICHILEMU</t>
  </si>
  <si>
    <t>M3 Rollizo 3,20 Mts.</t>
  </si>
  <si>
    <t>PINUS RADIATA</t>
  </si>
  <si>
    <t>PINO INSIGNE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</si>
</sst>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_-;\-* #,##0.0_-;_-* &quot;-&quot;_-;_-@"/>
  </numFmts>
  <fonts count="6" x14ac:knownFonts="1">
    <font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0" fillId="0" borderId="1" xfId="0" applyBorder="1"/>
    <xf numFmtId="22" fontId="0" fillId="0" borderId="1" xfId="0" applyNumberFormat="1" applyBorder="1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FD0A3-3E8D-4C08-B2F8-523034121795}" name="Tabla1" displayName="Tabla1" ref="A1:X66" totalsRowShown="0" headerRowDxfId="0" dataDxfId="1" headerRowBorderDxfId="26" tableBorderDxfId="27">
  <autoFilter ref="A1:X66" xr:uid="{78FFD0A3-3E8D-4C08-B2F8-523034121795}"/>
  <tableColumns count="24">
    <tableColumn id="1" xr3:uid="{F9C8402B-B1BA-4B89-8E09-919BE171230E}" name="Folio" dataDxfId="25"/>
    <tableColumn id="2" xr3:uid="{E4E652D9-E1C4-4590-9D3E-2ACEEA8723D2}" name="Fecha" dataDxfId="24"/>
    <tableColumn id="3" xr3:uid="{508F84B7-15AD-4D84-8698-91A9011C664B}" name=" NOMBRE PROVEEDOR" dataDxfId="23"/>
    <tableColumn id="4" xr3:uid="{8EB416FD-DF9F-42BD-9866-40591069DEAE}" name="NOMBRE PROPIETARIO DEL PREDIO " dataDxfId="22"/>
    <tableColumn id="5" xr3:uid="{4B07BFAE-E3A4-4AF3-86D1-ECF3A13C8921}" name="NOMBRE PREDIO " dataDxfId="21"/>
    <tableColumn id="6" xr3:uid="{5B7FDC18-2DDE-4F7C-94F0-48D569CD3A43}" name="COMUNA" dataDxfId="20"/>
    <tableColumn id="7" xr3:uid="{D7ABD62F-8004-4B8B-861E-EE937A4856B8}" name="ff" dataDxfId="19"/>
    <tableColumn id="8" xr3:uid="{8D45C241-96EE-4C36-9609-B538CE02B5E3}" name="ROL" dataDxfId="18"/>
    <tableColumn id="9" xr3:uid="{E5BC58C0-DFB2-4E16-8EDB-E0050D3CED5B}" name="Coordenadas 1" dataDxfId="17"/>
    <tableColumn id="10" xr3:uid="{2A038FB9-5CDC-418A-991B-C3DF88566652}" name="Coordenadas 2" dataDxfId="16"/>
    <tableColumn id="11" xr3:uid="{479E7D6E-694B-4BD6-8771-CD7C435AE172}" name="Plan de Manejo o Uso Agrícola" dataDxfId="15"/>
    <tableColumn id="12" xr3:uid="{75B27F9E-D3AD-45E9-8485-033EDEB36F96}" name="Descripción Gral." dataDxfId="14"/>
    <tableColumn id="13" xr3:uid="{A2B11350-C701-4FE0-8671-1C9EA92F06D7}" name="Descripción de material código FSC" dataDxfId="13"/>
    <tableColumn id="14" xr3:uid="{867862B2-8D28-4F24-AA51-32924A5CBE24}" name="M3 o m3st" dataDxfId="12"/>
    <tableColumn id="15" xr3:uid="{3D786A14-526E-4A2E-972A-994E481B9418}" name="M3 Final" dataDxfId="11"/>
    <tableColumn id="16" xr3:uid="{A0591C75-032A-4922-A645-CA12A70E4E40}" name="Categoría de Material" dataDxfId="10"/>
    <tableColumn id="17" xr3:uid="{9842AD18-2C3F-41CC-9F52-975BE8294FC9}" name="Código FSC" dataDxfId="9"/>
    <tableColumn id="18" xr3:uid="{CF06F087-BFF3-491E-BBAE-5019BBB63AFD}" name="Dirección del Proveedor" dataDxfId="8"/>
    <tableColumn id="19" xr3:uid="{D40FBAB8-67DC-4CA8-B8C1-8E543482B6D5}" name="Comuna del Origen" dataDxfId="7"/>
    <tableColumn id="20" xr3:uid="{979BED62-F725-44ED-A19E-E865E1D1C64D}" name="Contacto" dataDxfId="6"/>
    <tableColumn id="21" xr3:uid="{55D4C116-3573-4334-89D9-0872DFBC41F6}" name="Persona de Contacto del Proveedor" dataDxfId="5"/>
    <tableColumn id="22" xr3:uid="{A8F7D559-F40B-4ACD-B2D9-2B8CB9012DA2}" name="Email del proveedor" dataDxfId="4"/>
    <tableColumn id="23" xr3:uid="{C18F5463-5AFA-4174-BA02-5876126CB0BF}" name="Nombre cientifico de la especie forestal" dataDxfId="3"/>
    <tableColumn id="24" xr3:uid="{1D9A0A68-315A-4529-9C2E-6B6A727E5DE5}" name="Nombre comun de la especie fores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"/>
  <sheetViews>
    <sheetView topLeftCell="E58" workbookViewId="0">
      <selection activeCell="N72" sqref="N72:O72"/>
    </sheetView>
  </sheetViews>
  <sheetFormatPr baseColWidth="10" defaultRowHeight="15" x14ac:dyDescent="0.25"/>
  <cols>
    <col min="3" max="3" width="15.5703125" customWidth="1"/>
  </cols>
  <sheetData>
    <row r="1" spans="1:27" s="4" customFormat="1" ht="4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</row>
    <row r="2" spans="1:27" x14ac:dyDescent="0.25">
      <c r="A2" s="9">
        <v>5218</v>
      </c>
      <c r="B2" s="9"/>
      <c r="C2" s="10">
        <v>45660.330104166664</v>
      </c>
      <c r="D2" s="6" t="s">
        <v>26</v>
      </c>
      <c r="E2" s="7" t="s">
        <v>27</v>
      </c>
      <c r="F2" s="7" t="str">
        <f t="shared" ref="F2:F33" si="0">+E2</f>
        <v>AGRICOLA Y FORESTAL NAGUILAN S.A.</v>
      </c>
      <c r="G2" s="9" t="s">
        <v>28</v>
      </c>
      <c r="H2" s="7" t="s">
        <v>29</v>
      </c>
      <c r="I2" s="9"/>
      <c r="J2" s="9"/>
      <c r="K2" s="9"/>
      <c r="L2" s="9"/>
      <c r="M2" s="9"/>
      <c r="N2" s="8" t="s">
        <v>30</v>
      </c>
      <c r="O2" s="9"/>
      <c r="P2" s="9">
        <v>39.026000000000003</v>
      </c>
      <c r="Q2" s="9"/>
      <c r="R2" s="10"/>
      <c r="S2" s="9"/>
      <c r="T2" s="10"/>
      <c r="U2" s="7" t="s">
        <v>29</v>
      </c>
      <c r="V2" s="5"/>
      <c r="W2" s="5"/>
      <c r="X2" s="5"/>
      <c r="Y2" s="7" t="s">
        <v>31</v>
      </c>
      <c r="Z2" s="7" t="s">
        <v>32</v>
      </c>
    </row>
    <row r="3" spans="1:27" x14ac:dyDescent="0.25">
      <c r="A3" s="9">
        <v>5219</v>
      </c>
      <c r="B3" s="9"/>
      <c r="C3" s="10">
        <v>45660.439895833333</v>
      </c>
      <c r="D3" s="6" t="s">
        <v>26</v>
      </c>
      <c r="E3" s="7" t="s">
        <v>27</v>
      </c>
      <c r="F3" s="7" t="str">
        <f t="shared" si="0"/>
        <v>AGRICOLA Y FORESTAL NAGUILAN S.A.</v>
      </c>
      <c r="G3" s="9" t="s">
        <v>28</v>
      </c>
      <c r="H3" s="7" t="s">
        <v>29</v>
      </c>
      <c r="I3" s="9"/>
      <c r="J3" s="9"/>
      <c r="K3" s="9"/>
      <c r="L3" s="9"/>
      <c r="M3" s="9"/>
      <c r="N3" s="8" t="s">
        <v>30</v>
      </c>
      <c r="O3" s="9"/>
      <c r="P3" s="9">
        <v>42.335000000000001</v>
      </c>
      <c r="Q3" s="9"/>
      <c r="R3" s="10"/>
      <c r="S3" s="9"/>
      <c r="T3" s="10"/>
      <c r="U3" s="7" t="s">
        <v>29</v>
      </c>
      <c r="V3" s="5"/>
      <c r="W3" s="5"/>
      <c r="X3" s="5"/>
      <c r="Y3" s="7" t="s">
        <v>31</v>
      </c>
      <c r="Z3" s="7" t="s">
        <v>32</v>
      </c>
    </row>
    <row r="4" spans="1:27" x14ac:dyDescent="0.25">
      <c r="A4" s="9">
        <v>5220</v>
      </c>
      <c r="B4" s="9"/>
      <c r="C4" s="10">
        <v>45660.57403935185</v>
      </c>
      <c r="D4" s="6" t="s">
        <v>26</v>
      </c>
      <c r="E4" s="7" t="s">
        <v>27</v>
      </c>
      <c r="F4" s="7" t="str">
        <f t="shared" si="0"/>
        <v>AGRICOLA Y FORESTAL NAGUILAN S.A.</v>
      </c>
      <c r="G4" s="9" t="s">
        <v>28</v>
      </c>
      <c r="H4" s="7" t="s">
        <v>29</v>
      </c>
      <c r="I4" s="9"/>
      <c r="J4" s="9"/>
      <c r="K4" s="9"/>
      <c r="L4" s="9"/>
      <c r="M4" s="9"/>
      <c r="N4" s="8" t="s">
        <v>30</v>
      </c>
      <c r="O4" s="9"/>
      <c r="P4" s="9">
        <v>40.527999999999999</v>
      </c>
      <c r="Q4" s="9"/>
      <c r="R4" s="10"/>
      <c r="S4" s="9"/>
      <c r="T4" s="10"/>
      <c r="U4" s="7" t="s">
        <v>29</v>
      </c>
      <c r="V4" s="5"/>
      <c r="W4" s="5"/>
      <c r="X4" s="5"/>
      <c r="Y4" s="7" t="s">
        <v>31</v>
      </c>
      <c r="Z4" s="7" t="s">
        <v>32</v>
      </c>
    </row>
    <row r="5" spans="1:27" x14ac:dyDescent="0.25">
      <c r="A5" s="9">
        <v>5221</v>
      </c>
      <c r="B5" s="9"/>
      <c r="C5" s="10">
        <v>45663.34</v>
      </c>
      <c r="D5" s="6" t="s">
        <v>26</v>
      </c>
      <c r="E5" s="7" t="s">
        <v>27</v>
      </c>
      <c r="F5" s="7" t="str">
        <f t="shared" si="0"/>
        <v>AGRICOLA Y FORESTAL NAGUILAN S.A.</v>
      </c>
      <c r="G5" s="9" t="s">
        <v>28</v>
      </c>
      <c r="H5" s="7" t="s">
        <v>29</v>
      </c>
      <c r="I5" s="9"/>
      <c r="J5" s="9"/>
      <c r="K5" s="9"/>
      <c r="L5" s="9"/>
      <c r="M5" s="9"/>
      <c r="N5" s="8" t="s">
        <v>30</v>
      </c>
      <c r="O5" s="9"/>
      <c r="P5" s="9">
        <v>39.250999999999998</v>
      </c>
      <c r="Q5" s="9"/>
      <c r="R5" s="10"/>
      <c r="S5" s="9"/>
      <c r="T5" s="10"/>
      <c r="U5" s="7" t="s">
        <v>29</v>
      </c>
      <c r="V5" s="5"/>
      <c r="W5" s="5"/>
      <c r="X5" s="5"/>
      <c r="Y5" s="7" t="s">
        <v>31</v>
      </c>
      <c r="Z5" s="7" t="s">
        <v>32</v>
      </c>
    </row>
    <row r="6" spans="1:27" x14ac:dyDescent="0.25">
      <c r="A6" s="9">
        <v>5222</v>
      </c>
      <c r="B6" s="9"/>
      <c r="C6" s="10">
        <v>45663.343923611108</v>
      </c>
      <c r="D6" s="6" t="s">
        <v>26</v>
      </c>
      <c r="E6" s="7" t="s">
        <v>27</v>
      </c>
      <c r="F6" s="7" t="str">
        <f t="shared" si="0"/>
        <v>AGRICOLA Y FORESTAL NAGUILAN S.A.</v>
      </c>
      <c r="G6" s="9" t="s">
        <v>28</v>
      </c>
      <c r="H6" s="7" t="s">
        <v>29</v>
      </c>
      <c r="I6" s="9"/>
      <c r="J6" s="9"/>
      <c r="K6" s="9"/>
      <c r="L6" s="9"/>
      <c r="M6" s="9"/>
      <c r="N6" s="8" t="s">
        <v>30</v>
      </c>
      <c r="O6" s="9"/>
      <c r="P6" s="9">
        <v>41.210999999999999</v>
      </c>
      <c r="Q6" s="9"/>
      <c r="R6" s="10"/>
      <c r="S6" s="9"/>
      <c r="T6" s="10"/>
      <c r="U6" s="7" t="s">
        <v>29</v>
      </c>
      <c r="V6" s="5"/>
      <c r="W6" s="5"/>
      <c r="X6" s="5"/>
      <c r="Y6" s="7" t="s">
        <v>31</v>
      </c>
      <c r="Z6" s="7" t="s">
        <v>32</v>
      </c>
    </row>
    <row r="7" spans="1:27" x14ac:dyDescent="0.25">
      <c r="A7" s="9">
        <v>5223</v>
      </c>
      <c r="B7" s="9"/>
      <c r="C7" s="10">
        <v>45663.600601851853</v>
      </c>
      <c r="D7" s="6" t="s">
        <v>26</v>
      </c>
      <c r="E7" s="7" t="s">
        <v>27</v>
      </c>
      <c r="F7" s="7" t="str">
        <f t="shared" si="0"/>
        <v>AGRICOLA Y FORESTAL NAGUILAN S.A.</v>
      </c>
      <c r="G7" s="9" t="s">
        <v>28</v>
      </c>
      <c r="H7" s="7" t="s">
        <v>29</v>
      </c>
      <c r="I7" s="9"/>
      <c r="J7" s="9"/>
      <c r="K7" s="9"/>
      <c r="L7" s="9"/>
      <c r="M7" s="9"/>
      <c r="N7" s="8" t="s">
        <v>30</v>
      </c>
      <c r="O7" s="9"/>
      <c r="P7" s="9">
        <v>40.884999999999998</v>
      </c>
      <c r="Q7" s="9"/>
      <c r="R7" s="10"/>
      <c r="S7" s="9"/>
      <c r="T7" s="10"/>
      <c r="U7" s="7" t="s">
        <v>29</v>
      </c>
      <c r="V7" s="5"/>
      <c r="W7" s="5"/>
      <c r="X7" s="5"/>
      <c r="Y7" s="7" t="s">
        <v>31</v>
      </c>
      <c r="Z7" s="7" t="s">
        <v>32</v>
      </c>
    </row>
    <row r="8" spans="1:27" x14ac:dyDescent="0.25">
      <c r="A8" s="9">
        <v>5224</v>
      </c>
      <c r="B8" s="9"/>
      <c r="C8" s="10">
        <v>45664.314421296294</v>
      </c>
      <c r="D8" s="6" t="s">
        <v>26</v>
      </c>
      <c r="E8" s="7" t="s">
        <v>27</v>
      </c>
      <c r="F8" s="7" t="str">
        <f t="shared" si="0"/>
        <v>AGRICOLA Y FORESTAL NAGUILAN S.A.</v>
      </c>
      <c r="G8" s="9" t="s">
        <v>28</v>
      </c>
      <c r="H8" s="7" t="s">
        <v>29</v>
      </c>
      <c r="I8" s="9"/>
      <c r="J8" s="9"/>
      <c r="K8" s="9"/>
      <c r="L8" s="9"/>
      <c r="M8" s="9"/>
      <c r="N8" s="8" t="s">
        <v>30</v>
      </c>
      <c r="O8" s="9"/>
      <c r="P8" s="9">
        <v>39.917000000000002</v>
      </c>
      <c r="Q8" s="9"/>
      <c r="R8" s="10"/>
      <c r="S8" s="9"/>
      <c r="T8" s="10"/>
      <c r="U8" s="7" t="s">
        <v>29</v>
      </c>
      <c r="V8" s="5"/>
      <c r="W8" s="5"/>
      <c r="X8" s="5"/>
      <c r="Y8" s="7" t="s">
        <v>31</v>
      </c>
      <c r="Z8" s="7" t="s">
        <v>32</v>
      </c>
    </row>
    <row r="9" spans="1:27" x14ac:dyDescent="0.25">
      <c r="A9" s="9">
        <v>5225</v>
      </c>
      <c r="B9" s="9"/>
      <c r="C9" s="10">
        <v>45664.405833333331</v>
      </c>
      <c r="D9" s="6" t="s">
        <v>26</v>
      </c>
      <c r="E9" s="7" t="s">
        <v>27</v>
      </c>
      <c r="F9" s="7" t="str">
        <f t="shared" si="0"/>
        <v>AGRICOLA Y FORESTAL NAGUILAN S.A.</v>
      </c>
      <c r="G9" s="9" t="s">
        <v>28</v>
      </c>
      <c r="H9" s="7" t="s">
        <v>29</v>
      </c>
      <c r="I9" s="9"/>
      <c r="J9" s="9"/>
      <c r="K9" s="9"/>
      <c r="L9" s="9"/>
      <c r="M9" s="9"/>
      <c r="N9" s="8" t="s">
        <v>30</v>
      </c>
      <c r="O9" s="9"/>
      <c r="P9" s="9">
        <v>41.094000000000001</v>
      </c>
      <c r="Q9" s="9"/>
      <c r="R9" s="10"/>
      <c r="S9" s="9"/>
      <c r="T9" s="10"/>
      <c r="U9" s="7" t="s">
        <v>29</v>
      </c>
      <c r="V9" s="5"/>
      <c r="W9" s="5"/>
      <c r="X9" s="5"/>
      <c r="Y9" s="7" t="s">
        <v>31</v>
      </c>
      <c r="Z9" s="7" t="s">
        <v>32</v>
      </c>
    </row>
    <row r="10" spans="1:27" x14ac:dyDescent="0.25">
      <c r="A10" s="9">
        <v>5226</v>
      </c>
      <c r="B10" s="9"/>
      <c r="C10" s="10">
        <v>45664.535624999997</v>
      </c>
      <c r="D10" s="6" t="s">
        <v>26</v>
      </c>
      <c r="E10" s="7" t="s">
        <v>27</v>
      </c>
      <c r="F10" s="7" t="str">
        <f t="shared" si="0"/>
        <v>AGRICOLA Y FORESTAL NAGUILAN S.A.</v>
      </c>
      <c r="G10" s="9" t="s">
        <v>28</v>
      </c>
      <c r="H10" s="7" t="s">
        <v>29</v>
      </c>
      <c r="I10" s="9"/>
      <c r="J10" s="9"/>
      <c r="K10" s="9"/>
      <c r="L10" s="9"/>
      <c r="M10" s="9"/>
      <c r="N10" s="8" t="s">
        <v>30</v>
      </c>
      <c r="O10" s="9"/>
      <c r="P10" s="9">
        <v>41.276000000000003</v>
      </c>
      <c r="Q10" s="9"/>
      <c r="R10" s="10"/>
      <c r="S10" s="9"/>
      <c r="T10" s="10"/>
      <c r="U10" s="7" t="s">
        <v>29</v>
      </c>
      <c r="V10" s="5"/>
      <c r="W10" s="5"/>
      <c r="X10" s="5"/>
      <c r="Y10" s="7" t="s">
        <v>31</v>
      </c>
      <c r="Z10" s="7" t="s">
        <v>32</v>
      </c>
    </row>
    <row r="11" spans="1:27" x14ac:dyDescent="0.25">
      <c r="A11" s="9">
        <v>5227</v>
      </c>
      <c r="B11" s="9"/>
      <c r="C11" s="10">
        <v>45664.634467592594</v>
      </c>
      <c r="D11" s="6" t="s">
        <v>26</v>
      </c>
      <c r="E11" s="7" t="s">
        <v>27</v>
      </c>
      <c r="F11" s="7" t="str">
        <f t="shared" si="0"/>
        <v>AGRICOLA Y FORESTAL NAGUILAN S.A.</v>
      </c>
      <c r="G11" s="9" t="s">
        <v>28</v>
      </c>
      <c r="H11" s="7" t="s">
        <v>29</v>
      </c>
      <c r="I11" s="9"/>
      <c r="J11" s="9"/>
      <c r="K11" s="9"/>
      <c r="L11" s="9"/>
      <c r="M11" s="9"/>
      <c r="N11" s="8" t="s">
        <v>30</v>
      </c>
      <c r="O11" s="9"/>
      <c r="P11" s="9">
        <v>40.935000000000002</v>
      </c>
      <c r="Q11" s="9"/>
      <c r="R11" s="10"/>
      <c r="S11" s="9"/>
      <c r="T11" s="10"/>
      <c r="U11" s="7" t="s">
        <v>29</v>
      </c>
      <c r="V11" s="5"/>
      <c r="W11" s="5"/>
      <c r="X11" s="5"/>
      <c r="Y11" s="7" t="s">
        <v>31</v>
      </c>
      <c r="Z11" s="7" t="s">
        <v>32</v>
      </c>
    </row>
    <row r="12" spans="1:27" x14ac:dyDescent="0.25">
      <c r="A12" s="9">
        <v>5228</v>
      </c>
      <c r="B12" s="9"/>
      <c r="C12" s="10">
        <v>45665.316250000003</v>
      </c>
      <c r="D12" s="6" t="s">
        <v>26</v>
      </c>
      <c r="E12" s="7" t="s">
        <v>27</v>
      </c>
      <c r="F12" s="7" t="str">
        <f t="shared" si="0"/>
        <v>AGRICOLA Y FORESTAL NAGUILAN S.A.</v>
      </c>
      <c r="G12" s="9" t="s">
        <v>28</v>
      </c>
      <c r="H12" s="7" t="s">
        <v>29</v>
      </c>
      <c r="I12" s="9"/>
      <c r="J12" s="9"/>
      <c r="K12" s="9"/>
      <c r="L12" s="9"/>
      <c r="M12" s="9"/>
      <c r="N12" s="8" t="s">
        <v>30</v>
      </c>
      <c r="O12" s="9"/>
      <c r="P12" s="9">
        <v>37.542999999999999</v>
      </c>
      <c r="Q12" s="9"/>
      <c r="R12" s="10"/>
      <c r="S12" s="9"/>
      <c r="T12" s="10"/>
      <c r="U12" s="7" t="s">
        <v>29</v>
      </c>
      <c r="V12" s="5"/>
      <c r="W12" s="5"/>
      <c r="X12" s="5"/>
      <c r="Y12" s="7" t="s">
        <v>31</v>
      </c>
      <c r="Z12" s="7" t="s">
        <v>32</v>
      </c>
    </row>
    <row r="13" spans="1:27" x14ac:dyDescent="0.25">
      <c r="A13" s="9">
        <v>5229</v>
      </c>
      <c r="B13" s="9"/>
      <c r="C13" s="10">
        <v>45665.458692129629</v>
      </c>
      <c r="D13" s="6" t="s">
        <v>26</v>
      </c>
      <c r="E13" s="7" t="s">
        <v>27</v>
      </c>
      <c r="F13" s="7" t="str">
        <f t="shared" si="0"/>
        <v>AGRICOLA Y FORESTAL NAGUILAN S.A.</v>
      </c>
      <c r="G13" s="9" t="s">
        <v>28</v>
      </c>
      <c r="H13" s="7" t="s">
        <v>29</v>
      </c>
      <c r="I13" s="9"/>
      <c r="J13" s="9"/>
      <c r="K13" s="9"/>
      <c r="L13" s="9"/>
      <c r="M13" s="9"/>
      <c r="N13" s="8" t="s">
        <v>30</v>
      </c>
      <c r="O13" s="9"/>
      <c r="P13" s="9">
        <v>40.529000000000003</v>
      </c>
      <c r="Q13" s="9"/>
      <c r="R13" s="10"/>
      <c r="S13" s="9"/>
      <c r="T13" s="10"/>
      <c r="U13" s="7" t="s">
        <v>29</v>
      </c>
      <c r="V13" s="5"/>
      <c r="W13" s="5"/>
      <c r="X13" s="5"/>
      <c r="Y13" s="7" t="s">
        <v>31</v>
      </c>
      <c r="Z13" s="7" t="s">
        <v>32</v>
      </c>
    </row>
    <row r="14" spans="1:27" x14ac:dyDescent="0.25">
      <c r="A14" s="9">
        <v>5230</v>
      </c>
      <c r="B14" s="9"/>
      <c r="C14" s="10">
        <v>45665.538472222222</v>
      </c>
      <c r="D14" s="6" t="s">
        <v>26</v>
      </c>
      <c r="E14" s="7" t="s">
        <v>27</v>
      </c>
      <c r="F14" s="7" t="str">
        <f t="shared" si="0"/>
        <v>AGRICOLA Y FORESTAL NAGUILAN S.A.</v>
      </c>
      <c r="G14" s="9" t="s">
        <v>28</v>
      </c>
      <c r="H14" s="7" t="s">
        <v>29</v>
      </c>
      <c r="I14" s="9"/>
      <c r="J14" s="9"/>
      <c r="K14" s="9"/>
      <c r="L14" s="9"/>
      <c r="M14" s="9"/>
      <c r="N14" s="8" t="s">
        <v>30</v>
      </c>
      <c r="O14" s="9"/>
      <c r="P14" s="9">
        <v>37.872999999999998</v>
      </c>
      <c r="Q14" s="9"/>
      <c r="R14" s="10"/>
      <c r="S14" s="9"/>
      <c r="T14" s="10"/>
      <c r="U14" s="7" t="s">
        <v>29</v>
      </c>
      <c r="V14" s="5"/>
      <c r="W14" s="5"/>
      <c r="X14" s="5"/>
      <c r="Y14" s="7" t="s">
        <v>31</v>
      </c>
      <c r="Z14" s="7" t="s">
        <v>32</v>
      </c>
    </row>
    <row r="15" spans="1:27" x14ac:dyDescent="0.25">
      <c r="A15" s="9">
        <v>5231</v>
      </c>
      <c r="B15" s="9"/>
      <c r="C15" s="10">
        <v>45665.656678240739</v>
      </c>
      <c r="D15" s="6" t="s">
        <v>26</v>
      </c>
      <c r="E15" s="7" t="s">
        <v>27</v>
      </c>
      <c r="F15" s="7" t="str">
        <f t="shared" si="0"/>
        <v>AGRICOLA Y FORESTAL NAGUILAN S.A.</v>
      </c>
      <c r="G15" s="9" t="s">
        <v>28</v>
      </c>
      <c r="H15" s="7" t="s">
        <v>29</v>
      </c>
      <c r="I15" s="9"/>
      <c r="J15" s="9"/>
      <c r="K15" s="9"/>
      <c r="L15" s="9"/>
      <c r="M15" s="9"/>
      <c r="N15" s="8" t="s">
        <v>30</v>
      </c>
      <c r="O15" s="9"/>
      <c r="P15" s="9">
        <v>41.384</v>
      </c>
      <c r="Q15" s="9"/>
      <c r="R15" s="10"/>
      <c r="S15" s="9"/>
      <c r="T15" s="10"/>
      <c r="U15" s="7" t="s">
        <v>29</v>
      </c>
      <c r="V15" s="5"/>
      <c r="W15" s="5"/>
      <c r="X15" s="5"/>
      <c r="Y15" s="7" t="s">
        <v>31</v>
      </c>
      <c r="Z15" s="7" t="s">
        <v>32</v>
      </c>
    </row>
    <row r="16" spans="1:27" x14ac:dyDescent="0.25">
      <c r="A16" s="9">
        <v>5232</v>
      </c>
      <c r="B16" s="9"/>
      <c r="C16" s="10">
        <v>45666.3121875</v>
      </c>
      <c r="D16" s="6" t="s">
        <v>26</v>
      </c>
      <c r="E16" s="7" t="s">
        <v>27</v>
      </c>
      <c r="F16" s="7" t="str">
        <f t="shared" si="0"/>
        <v>AGRICOLA Y FORESTAL NAGUILAN S.A.</v>
      </c>
      <c r="G16" s="9" t="s">
        <v>28</v>
      </c>
      <c r="H16" s="7" t="s">
        <v>29</v>
      </c>
      <c r="I16" s="9"/>
      <c r="J16" s="9"/>
      <c r="K16" s="9"/>
      <c r="L16" s="9"/>
      <c r="M16" s="9"/>
      <c r="N16" s="8" t="s">
        <v>30</v>
      </c>
      <c r="O16" s="9"/>
      <c r="P16" s="9">
        <v>39.392000000000003</v>
      </c>
      <c r="Q16" s="9"/>
      <c r="R16" s="10"/>
      <c r="S16" s="9"/>
      <c r="T16" s="10"/>
      <c r="U16" s="7" t="s">
        <v>29</v>
      </c>
      <c r="V16" s="5"/>
      <c r="W16" s="5"/>
      <c r="X16" s="5"/>
      <c r="Y16" s="7" t="s">
        <v>31</v>
      </c>
      <c r="Z16" s="7" t="s">
        <v>32</v>
      </c>
    </row>
    <row r="17" spans="1:26" x14ac:dyDescent="0.25">
      <c r="A17" s="9">
        <v>5233</v>
      </c>
      <c r="B17" s="9"/>
      <c r="C17" s="10">
        <v>45666.399583333332</v>
      </c>
      <c r="D17" s="6" t="s">
        <v>26</v>
      </c>
      <c r="E17" s="7" t="s">
        <v>27</v>
      </c>
      <c r="F17" s="7" t="str">
        <f t="shared" si="0"/>
        <v>AGRICOLA Y FORESTAL NAGUILAN S.A.</v>
      </c>
      <c r="G17" s="9" t="s">
        <v>28</v>
      </c>
      <c r="H17" s="7" t="s">
        <v>29</v>
      </c>
      <c r="I17" s="9"/>
      <c r="J17" s="9"/>
      <c r="K17" s="9"/>
      <c r="L17" s="9"/>
      <c r="M17" s="9"/>
      <c r="N17" s="8" t="s">
        <v>30</v>
      </c>
      <c r="O17" s="9"/>
      <c r="P17" s="9">
        <v>39.363</v>
      </c>
      <c r="Q17" s="9"/>
      <c r="R17" s="10"/>
      <c r="S17" s="9"/>
      <c r="T17" s="10"/>
      <c r="U17" s="7" t="s">
        <v>29</v>
      </c>
      <c r="V17" s="5"/>
      <c r="W17" s="5"/>
      <c r="X17" s="5"/>
      <c r="Y17" s="7" t="s">
        <v>31</v>
      </c>
      <c r="Z17" s="7" t="s">
        <v>32</v>
      </c>
    </row>
    <row r="18" spans="1:26" x14ac:dyDescent="0.25">
      <c r="A18" s="9">
        <v>5234</v>
      </c>
      <c r="B18" s="9"/>
      <c r="C18" s="10">
        <v>45666.484675925924</v>
      </c>
      <c r="D18" s="6" t="s">
        <v>26</v>
      </c>
      <c r="E18" s="7" t="s">
        <v>27</v>
      </c>
      <c r="F18" s="7" t="str">
        <f t="shared" si="0"/>
        <v>AGRICOLA Y FORESTAL NAGUILAN S.A.</v>
      </c>
      <c r="G18" s="9" t="s">
        <v>28</v>
      </c>
      <c r="H18" s="7" t="s">
        <v>29</v>
      </c>
      <c r="I18" s="9"/>
      <c r="J18" s="9"/>
      <c r="K18" s="9"/>
      <c r="L18" s="9"/>
      <c r="M18" s="9"/>
      <c r="N18" s="8" t="s">
        <v>30</v>
      </c>
      <c r="O18" s="9"/>
      <c r="P18" s="9">
        <v>40.677</v>
      </c>
      <c r="Q18" s="9"/>
      <c r="R18" s="10"/>
      <c r="S18" s="9"/>
      <c r="T18" s="10"/>
      <c r="U18" s="7" t="s">
        <v>29</v>
      </c>
      <c r="V18" s="5"/>
      <c r="W18" s="5"/>
      <c r="X18" s="5"/>
      <c r="Y18" s="7" t="s">
        <v>31</v>
      </c>
      <c r="Z18" s="7" t="s">
        <v>32</v>
      </c>
    </row>
    <row r="19" spans="1:26" x14ac:dyDescent="0.25">
      <c r="A19" s="9">
        <v>5235</v>
      </c>
      <c r="B19" s="9"/>
      <c r="C19" s="10">
        <v>45666.569166666668</v>
      </c>
      <c r="D19" s="6" t="s">
        <v>26</v>
      </c>
      <c r="E19" s="7" t="s">
        <v>27</v>
      </c>
      <c r="F19" s="7" t="str">
        <f t="shared" si="0"/>
        <v>AGRICOLA Y FORESTAL NAGUILAN S.A.</v>
      </c>
      <c r="G19" s="9" t="s">
        <v>28</v>
      </c>
      <c r="H19" s="7" t="s">
        <v>29</v>
      </c>
      <c r="I19" s="9"/>
      <c r="J19" s="9"/>
      <c r="K19" s="9"/>
      <c r="L19" s="9"/>
      <c r="M19" s="9"/>
      <c r="N19" s="8" t="s">
        <v>30</v>
      </c>
      <c r="O19" s="9"/>
      <c r="P19" s="9">
        <v>39.720999999999997</v>
      </c>
      <c r="Q19" s="9"/>
      <c r="R19" s="10"/>
      <c r="S19" s="9"/>
      <c r="T19" s="10"/>
      <c r="U19" s="7" t="s">
        <v>29</v>
      </c>
      <c r="V19" s="5"/>
      <c r="W19" s="5"/>
      <c r="X19" s="5"/>
      <c r="Y19" s="7" t="s">
        <v>31</v>
      </c>
      <c r="Z19" s="7" t="s">
        <v>32</v>
      </c>
    </row>
    <row r="20" spans="1:26" x14ac:dyDescent="0.25">
      <c r="A20" s="9">
        <v>5236</v>
      </c>
      <c r="B20" s="9"/>
      <c r="C20" s="10">
        <v>45670.313958333332</v>
      </c>
      <c r="D20" s="6" t="s">
        <v>26</v>
      </c>
      <c r="E20" s="7" t="s">
        <v>27</v>
      </c>
      <c r="F20" s="7" t="str">
        <f t="shared" si="0"/>
        <v>AGRICOLA Y FORESTAL NAGUILAN S.A.</v>
      </c>
      <c r="G20" s="9" t="s">
        <v>28</v>
      </c>
      <c r="H20" s="7" t="s">
        <v>29</v>
      </c>
      <c r="I20" s="9"/>
      <c r="J20" s="9"/>
      <c r="K20" s="9"/>
      <c r="L20" s="9"/>
      <c r="M20" s="9"/>
      <c r="N20" s="8" t="s">
        <v>30</v>
      </c>
      <c r="O20" s="9"/>
      <c r="P20" s="9">
        <v>52.36</v>
      </c>
      <c r="Q20" s="9"/>
      <c r="R20" s="10"/>
      <c r="S20" s="9"/>
      <c r="T20" s="10"/>
      <c r="U20" s="7" t="s">
        <v>29</v>
      </c>
      <c r="V20" s="5"/>
      <c r="W20" s="5"/>
      <c r="X20" s="5"/>
      <c r="Y20" s="7" t="s">
        <v>31</v>
      </c>
      <c r="Z20" s="7" t="s">
        <v>32</v>
      </c>
    </row>
    <row r="21" spans="1:26" x14ac:dyDescent="0.25">
      <c r="A21" s="9">
        <v>5237</v>
      </c>
      <c r="B21" s="9"/>
      <c r="C21" s="10">
        <v>45670.401944444442</v>
      </c>
      <c r="D21" s="6" t="s">
        <v>26</v>
      </c>
      <c r="E21" s="7" t="s">
        <v>27</v>
      </c>
      <c r="F21" s="7" t="str">
        <f t="shared" si="0"/>
        <v>AGRICOLA Y FORESTAL NAGUILAN S.A.</v>
      </c>
      <c r="G21" s="9" t="s">
        <v>28</v>
      </c>
      <c r="H21" s="7" t="s">
        <v>29</v>
      </c>
      <c r="I21" s="9"/>
      <c r="J21" s="9"/>
      <c r="K21" s="9"/>
      <c r="L21" s="9"/>
      <c r="M21" s="9"/>
      <c r="N21" s="8" t="s">
        <v>30</v>
      </c>
      <c r="O21" s="9"/>
      <c r="P21" s="9">
        <v>40.804000000000002</v>
      </c>
      <c r="Q21" s="9"/>
      <c r="R21" s="10"/>
      <c r="S21" s="9"/>
      <c r="T21" s="10"/>
      <c r="U21" s="7" t="s">
        <v>29</v>
      </c>
      <c r="V21" s="5"/>
      <c r="W21" s="5"/>
      <c r="X21" s="5"/>
      <c r="Y21" s="7" t="s">
        <v>31</v>
      </c>
      <c r="Z21" s="7" t="s">
        <v>32</v>
      </c>
    </row>
    <row r="22" spans="1:26" x14ac:dyDescent="0.25">
      <c r="A22" s="9">
        <v>5238</v>
      </c>
      <c r="B22" s="9"/>
      <c r="C22" s="10">
        <v>45670.485185185185</v>
      </c>
      <c r="D22" s="6" t="s">
        <v>26</v>
      </c>
      <c r="E22" s="7" t="s">
        <v>27</v>
      </c>
      <c r="F22" s="7" t="str">
        <f t="shared" si="0"/>
        <v>AGRICOLA Y FORESTAL NAGUILAN S.A.</v>
      </c>
      <c r="G22" s="9" t="s">
        <v>28</v>
      </c>
      <c r="H22" s="7" t="s">
        <v>29</v>
      </c>
      <c r="I22" s="9"/>
      <c r="J22" s="9"/>
      <c r="K22" s="9"/>
      <c r="L22" s="9"/>
      <c r="M22" s="9"/>
      <c r="N22" s="8" t="s">
        <v>30</v>
      </c>
      <c r="O22" s="9"/>
      <c r="P22" s="9">
        <v>42.075000000000003</v>
      </c>
      <c r="Q22" s="9"/>
      <c r="R22" s="10"/>
      <c r="S22" s="9"/>
      <c r="T22" s="10"/>
      <c r="U22" s="7" t="s">
        <v>29</v>
      </c>
      <c r="V22" s="5"/>
      <c r="W22" s="5"/>
      <c r="X22" s="5"/>
      <c r="Y22" s="7" t="s">
        <v>31</v>
      </c>
      <c r="Z22" s="7" t="s">
        <v>32</v>
      </c>
    </row>
    <row r="23" spans="1:26" x14ac:dyDescent="0.25">
      <c r="A23" s="9">
        <v>5239</v>
      </c>
      <c r="B23" s="9"/>
      <c r="C23" s="10">
        <v>45671.31417824074</v>
      </c>
      <c r="D23" s="6" t="s">
        <v>26</v>
      </c>
      <c r="E23" s="7" t="s">
        <v>27</v>
      </c>
      <c r="F23" s="7" t="str">
        <f t="shared" si="0"/>
        <v>AGRICOLA Y FORESTAL NAGUILAN S.A.</v>
      </c>
      <c r="G23" s="9" t="s">
        <v>28</v>
      </c>
      <c r="H23" s="7" t="s">
        <v>29</v>
      </c>
      <c r="I23" s="9"/>
      <c r="J23" s="9"/>
      <c r="K23" s="9"/>
      <c r="L23" s="9"/>
      <c r="M23" s="9"/>
      <c r="N23" s="8" t="s">
        <v>30</v>
      </c>
      <c r="O23" s="9"/>
      <c r="P23" s="9">
        <v>40.813000000000002</v>
      </c>
      <c r="Q23" s="9"/>
      <c r="R23" s="10"/>
      <c r="S23" s="9"/>
      <c r="T23" s="10"/>
      <c r="U23" s="7" t="s">
        <v>29</v>
      </c>
      <c r="V23" s="5"/>
      <c r="W23" s="5"/>
      <c r="X23" s="5"/>
      <c r="Y23" s="7" t="s">
        <v>31</v>
      </c>
      <c r="Z23" s="7" t="s">
        <v>32</v>
      </c>
    </row>
    <row r="24" spans="1:26" x14ac:dyDescent="0.25">
      <c r="A24" s="9">
        <v>5240</v>
      </c>
      <c r="B24" s="9"/>
      <c r="C24" s="10">
        <v>45671.402361111112</v>
      </c>
      <c r="D24" s="6" t="s">
        <v>26</v>
      </c>
      <c r="E24" s="7" t="s">
        <v>27</v>
      </c>
      <c r="F24" s="7" t="str">
        <f t="shared" si="0"/>
        <v>AGRICOLA Y FORESTAL NAGUILAN S.A.</v>
      </c>
      <c r="G24" s="9" t="s">
        <v>28</v>
      </c>
      <c r="H24" s="7" t="s">
        <v>29</v>
      </c>
      <c r="I24" s="9"/>
      <c r="J24" s="9"/>
      <c r="K24" s="9"/>
      <c r="L24" s="9"/>
      <c r="M24" s="9"/>
      <c r="N24" s="8" t="s">
        <v>30</v>
      </c>
      <c r="O24" s="9"/>
      <c r="P24" s="9">
        <v>41.372</v>
      </c>
      <c r="Q24" s="9"/>
      <c r="R24" s="10"/>
      <c r="S24" s="9"/>
      <c r="T24" s="10"/>
      <c r="U24" s="7" t="s">
        <v>29</v>
      </c>
      <c r="V24" s="5"/>
      <c r="W24" s="5"/>
      <c r="X24" s="5"/>
      <c r="Y24" s="7" t="s">
        <v>31</v>
      </c>
      <c r="Z24" s="7" t="s">
        <v>32</v>
      </c>
    </row>
    <row r="25" spans="1:26" x14ac:dyDescent="0.25">
      <c r="A25" s="9">
        <v>5241</v>
      </c>
      <c r="B25" s="9"/>
      <c r="C25" s="10">
        <v>45671.523981481485</v>
      </c>
      <c r="D25" s="6" t="s">
        <v>26</v>
      </c>
      <c r="E25" s="7" t="s">
        <v>27</v>
      </c>
      <c r="F25" s="7" t="str">
        <f t="shared" si="0"/>
        <v>AGRICOLA Y FORESTAL NAGUILAN S.A.</v>
      </c>
      <c r="G25" s="9" t="s">
        <v>28</v>
      </c>
      <c r="H25" s="7" t="s">
        <v>29</v>
      </c>
      <c r="I25" s="9"/>
      <c r="J25" s="9"/>
      <c r="K25" s="9"/>
      <c r="L25" s="9"/>
      <c r="M25" s="9"/>
      <c r="N25" s="8" t="s">
        <v>30</v>
      </c>
      <c r="O25" s="9"/>
      <c r="P25" s="9">
        <v>41.536000000000001</v>
      </c>
      <c r="Q25" s="9"/>
      <c r="R25" s="10"/>
      <c r="S25" s="9"/>
      <c r="T25" s="10"/>
      <c r="U25" s="7" t="s">
        <v>29</v>
      </c>
      <c r="V25" s="5"/>
      <c r="W25" s="5"/>
      <c r="X25" s="5"/>
      <c r="Y25" s="7" t="s">
        <v>31</v>
      </c>
      <c r="Z25" s="7" t="s">
        <v>32</v>
      </c>
    </row>
    <row r="26" spans="1:26" x14ac:dyDescent="0.25">
      <c r="A26" s="9">
        <v>5242</v>
      </c>
      <c r="B26" s="9"/>
      <c r="C26" s="10">
        <v>45671.609375</v>
      </c>
      <c r="D26" s="6" t="s">
        <v>26</v>
      </c>
      <c r="E26" s="7" t="s">
        <v>27</v>
      </c>
      <c r="F26" s="7" t="str">
        <f t="shared" si="0"/>
        <v>AGRICOLA Y FORESTAL NAGUILAN S.A.</v>
      </c>
      <c r="G26" s="9" t="s">
        <v>28</v>
      </c>
      <c r="H26" s="7" t="s">
        <v>29</v>
      </c>
      <c r="I26" s="9"/>
      <c r="J26" s="9"/>
      <c r="K26" s="9"/>
      <c r="L26" s="9"/>
      <c r="M26" s="9"/>
      <c r="N26" s="8" t="s">
        <v>30</v>
      </c>
      <c r="O26" s="9"/>
      <c r="P26" s="9">
        <v>40.359000000000002</v>
      </c>
      <c r="Q26" s="9"/>
      <c r="R26" s="10"/>
      <c r="S26" s="9"/>
      <c r="T26" s="10"/>
      <c r="U26" s="7" t="s">
        <v>29</v>
      </c>
      <c r="V26" s="5"/>
      <c r="W26" s="5"/>
      <c r="X26" s="5"/>
      <c r="Y26" s="7" t="s">
        <v>31</v>
      </c>
      <c r="Z26" s="7" t="s">
        <v>32</v>
      </c>
    </row>
    <row r="27" spans="1:26" x14ac:dyDescent="0.25">
      <c r="A27" s="9">
        <v>5248</v>
      </c>
      <c r="B27" s="9"/>
      <c r="C27" s="10">
        <v>45672.311631944445</v>
      </c>
      <c r="D27" s="6" t="s">
        <v>26</v>
      </c>
      <c r="E27" s="7" t="s">
        <v>27</v>
      </c>
      <c r="F27" s="7" t="str">
        <f t="shared" si="0"/>
        <v>AGRICOLA Y FORESTAL NAGUILAN S.A.</v>
      </c>
      <c r="G27" s="9" t="s">
        <v>28</v>
      </c>
      <c r="H27" s="7" t="s">
        <v>29</v>
      </c>
      <c r="I27" s="9"/>
      <c r="J27" s="9"/>
      <c r="K27" s="9"/>
      <c r="L27" s="9"/>
      <c r="M27" s="9"/>
      <c r="N27" s="8" t="s">
        <v>30</v>
      </c>
      <c r="O27" s="9"/>
      <c r="P27" s="9">
        <v>40.104999999999997</v>
      </c>
      <c r="Q27" s="9"/>
      <c r="R27" s="10"/>
      <c r="S27" s="9"/>
      <c r="T27" s="10"/>
      <c r="U27" s="7" t="s">
        <v>29</v>
      </c>
      <c r="V27" s="5"/>
      <c r="W27" s="5"/>
      <c r="X27" s="5"/>
      <c r="Y27" s="7" t="s">
        <v>31</v>
      </c>
      <c r="Z27" s="7" t="s">
        <v>32</v>
      </c>
    </row>
    <row r="28" spans="1:26" x14ac:dyDescent="0.25">
      <c r="A28" s="9">
        <v>5244</v>
      </c>
      <c r="B28" s="9"/>
      <c r="C28" s="10">
        <v>45672.400671296295</v>
      </c>
      <c r="D28" s="6" t="s">
        <v>26</v>
      </c>
      <c r="E28" s="7" t="s">
        <v>27</v>
      </c>
      <c r="F28" s="7" t="str">
        <f t="shared" si="0"/>
        <v>AGRICOLA Y FORESTAL NAGUILAN S.A.</v>
      </c>
      <c r="G28" s="9" t="s">
        <v>28</v>
      </c>
      <c r="H28" s="7" t="s">
        <v>29</v>
      </c>
      <c r="I28" s="9"/>
      <c r="J28" s="9"/>
      <c r="K28" s="9"/>
      <c r="L28" s="9"/>
      <c r="M28" s="9"/>
      <c r="N28" s="8" t="s">
        <v>30</v>
      </c>
      <c r="O28" s="9"/>
      <c r="P28" s="9">
        <v>40.332999999999998</v>
      </c>
      <c r="Q28" s="9"/>
      <c r="R28" s="10"/>
      <c r="S28" s="9"/>
      <c r="T28" s="10"/>
      <c r="U28" s="7" t="s">
        <v>29</v>
      </c>
      <c r="V28" s="5"/>
      <c r="W28" s="5"/>
      <c r="X28" s="5"/>
      <c r="Y28" s="7" t="s">
        <v>31</v>
      </c>
      <c r="Z28" s="7" t="s">
        <v>32</v>
      </c>
    </row>
    <row r="29" spans="1:26" x14ac:dyDescent="0.25">
      <c r="A29" s="9">
        <v>5245</v>
      </c>
      <c r="B29" s="9"/>
      <c r="C29" s="10">
        <v>45672.49659722222</v>
      </c>
      <c r="D29" s="6" t="s">
        <v>26</v>
      </c>
      <c r="E29" s="7" t="s">
        <v>27</v>
      </c>
      <c r="F29" s="7" t="str">
        <f t="shared" si="0"/>
        <v>AGRICOLA Y FORESTAL NAGUILAN S.A.</v>
      </c>
      <c r="G29" s="9" t="s">
        <v>28</v>
      </c>
      <c r="H29" s="7" t="s">
        <v>29</v>
      </c>
      <c r="I29" s="9"/>
      <c r="J29" s="9"/>
      <c r="K29" s="9"/>
      <c r="L29" s="9"/>
      <c r="M29" s="9"/>
      <c r="N29" s="8" t="s">
        <v>30</v>
      </c>
      <c r="O29" s="9"/>
      <c r="P29" s="9">
        <v>41.563000000000002</v>
      </c>
      <c r="Q29" s="9"/>
      <c r="R29" s="10"/>
      <c r="S29" s="9"/>
      <c r="T29" s="10"/>
      <c r="U29" s="7" t="s">
        <v>29</v>
      </c>
      <c r="V29" s="5"/>
      <c r="W29" s="5"/>
      <c r="X29" s="5"/>
      <c r="Y29" s="7" t="s">
        <v>31</v>
      </c>
      <c r="Z29" s="7" t="s">
        <v>32</v>
      </c>
    </row>
    <row r="30" spans="1:26" x14ac:dyDescent="0.25">
      <c r="A30" s="9">
        <v>5246</v>
      </c>
      <c r="B30" s="9"/>
      <c r="C30" s="10">
        <v>45672.599895833337</v>
      </c>
      <c r="D30" s="6" t="s">
        <v>26</v>
      </c>
      <c r="E30" s="7" t="s">
        <v>27</v>
      </c>
      <c r="F30" s="7" t="str">
        <f t="shared" si="0"/>
        <v>AGRICOLA Y FORESTAL NAGUILAN S.A.</v>
      </c>
      <c r="G30" s="9" t="s">
        <v>28</v>
      </c>
      <c r="H30" s="7" t="s">
        <v>29</v>
      </c>
      <c r="I30" s="9"/>
      <c r="J30" s="9"/>
      <c r="K30" s="9"/>
      <c r="L30" s="9"/>
      <c r="M30" s="9"/>
      <c r="N30" s="8" t="s">
        <v>30</v>
      </c>
      <c r="O30" s="9"/>
      <c r="P30" s="9">
        <v>41.436999999999998</v>
      </c>
      <c r="Q30" s="9"/>
      <c r="R30" s="10"/>
      <c r="S30" s="9"/>
      <c r="T30" s="10"/>
      <c r="U30" s="7" t="s">
        <v>29</v>
      </c>
      <c r="V30" s="5"/>
      <c r="W30" s="5"/>
      <c r="X30" s="5"/>
      <c r="Y30" s="7" t="s">
        <v>31</v>
      </c>
      <c r="Z30" s="7" t="s">
        <v>32</v>
      </c>
    </row>
    <row r="31" spans="1:26" x14ac:dyDescent="0.25">
      <c r="A31" s="9">
        <v>5247</v>
      </c>
      <c r="B31" s="9"/>
      <c r="C31" s="10">
        <v>45673.313900462963</v>
      </c>
      <c r="D31" s="6" t="s">
        <v>26</v>
      </c>
      <c r="E31" s="7" t="s">
        <v>27</v>
      </c>
      <c r="F31" s="7" t="str">
        <f t="shared" si="0"/>
        <v>AGRICOLA Y FORESTAL NAGUILAN S.A.</v>
      </c>
      <c r="G31" s="9" t="s">
        <v>28</v>
      </c>
      <c r="H31" s="7" t="s">
        <v>29</v>
      </c>
      <c r="I31" s="9"/>
      <c r="J31" s="9"/>
      <c r="K31" s="9"/>
      <c r="L31" s="9"/>
      <c r="M31" s="9"/>
      <c r="N31" s="8" t="s">
        <v>30</v>
      </c>
      <c r="O31" s="9"/>
      <c r="P31" s="9">
        <v>39.478000000000002</v>
      </c>
      <c r="Q31" s="9"/>
      <c r="R31" s="10"/>
      <c r="S31" s="9"/>
      <c r="T31" s="10"/>
      <c r="U31" s="7" t="s">
        <v>29</v>
      </c>
      <c r="V31" s="5"/>
      <c r="W31" s="5"/>
      <c r="X31" s="5"/>
      <c r="Y31" s="7" t="s">
        <v>31</v>
      </c>
      <c r="Z31" s="7" t="s">
        <v>32</v>
      </c>
    </row>
    <row r="32" spans="1:26" x14ac:dyDescent="0.25">
      <c r="A32" s="9">
        <v>5248</v>
      </c>
      <c r="B32" s="9"/>
      <c r="C32" s="10">
        <v>45673.423530092594</v>
      </c>
      <c r="D32" s="6" t="s">
        <v>26</v>
      </c>
      <c r="E32" s="7" t="s">
        <v>27</v>
      </c>
      <c r="F32" s="7" t="str">
        <f t="shared" si="0"/>
        <v>AGRICOLA Y FORESTAL NAGUILAN S.A.</v>
      </c>
      <c r="G32" s="9" t="s">
        <v>28</v>
      </c>
      <c r="H32" s="7" t="s">
        <v>29</v>
      </c>
      <c r="I32" s="9"/>
      <c r="J32" s="9"/>
      <c r="K32" s="9"/>
      <c r="L32" s="9"/>
      <c r="M32" s="9"/>
      <c r="N32" s="8" t="s">
        <v>30</v>
      </c>
      <c r="O32" s="9"/>
      <c r="P32" s="9">
        <v>39.649000000000001</v>
      </c>
      <c r="Q32" s="9"/>
      <c r="R32" s="10"/>
      <c r="S32" s="9"/>
      <c r="T32" s="10"/>
      <c r="U32" s="7" t="s">
        <v>29</v>
      </c>
      <c r="V32" s="5"/>
      <c r="W32" s="5"/>
      <c r="X32" s="5"/>
      <c r="Y32" s="7" t="s">
        <v>31</v>
      </c>
      <c r="Z32" s="7" t="s">
        <v>32</v>
      </c>
    </row>
    <row r="33" spans="1:26" x14ac:dyDescent="0.25">
      <c r="A33" s="9">
        <v>5249</v>
      </c>
      <c r="B33" s="9"/>
      <c r="C33" s="10">
        <v>45673.538564814815</v>
      </c>
      <c r="D33" s="6" t="s">
        <v>26</v>
      </c>
      <c r="E33" s="7" t="s">
        <v>27</v>
      </c>
      <c r="F33" s="7" t="str">
        <f t="shared" si="0"/>
        <v>AGRICOLA Y FORESTAL NAGUILAN S.A.</v>
      </c>
      <c r="G33" s="9" t="s">
        <v>28</v>
      </c>
      <c r="H33" s="7" t="s">
        <v>29</v>
      </c>
      <c r="I33" s="9"/>
      <c r="J33" s="9"/>
      <c r="K33" s="9"/>
      <c r="L33" s="9"/>
      <c r="M33" s="9"/>
      <c r="N33" s="8" t="s">
        <v>30</v>
      </c>
      <c r="O33" s="9"/>
      <c r="P33" s="9">
        <v>22.774000000000001</v>
      </c>
      <c r="Q33" s="9"/>
      <c r="R33" s="10"/>
      <c r="S33" s="9"/>
      <c r="T33" s="10"/>
      <c r="U33" s="7" t="s">
        <v>29</v>
      </c>
      <c r="V33" s="5"/>
      <c r="W33" s="5"/>
      <c r="X33" s="5"/>
      <c r="Y33" s="7" t="s">
        <v>31</v>
      </c>
      <c r="Z33" s="7" t="s">
        <v>32</v>
      </c>
    </row>
    <row r="34" spans="1:26" x14ac:dyDescent="0.25">
      <c r="A34" s="9">
        <v>5250</v>
      </c>
      <c r="B34" s="9"/>
      <c r="C34" s="10">
        <v>45677.318657407406</v>
      </c>
      <c r="D34" s="6" t="s">
        <v>26</v>
      </c>
      <c r="E34" s="7" t="s">
        <v>27</v>
      </c>
      <c r="F34" s="7" t="str">
        <f t="shared" ref="F34:F65" si="1">+E34</f>
        <v>AGRICOLA Y FORESTAL NAGUILAN S.A.</v>
      </c>
      <c r="G34" s="9" t="s">
        <v>28</v>
      </c>
      <c r="H34" s="7" t="s">
        <v>29</v>
      </c>
      <c r="I34" s="9"/>
      <c r="J34" s="9"/>
      <c r="K34" s="9"/>
      <c r="L34" s="9"/>
      <c r="M34" s="9"/>
      <c r="N34" s="8" t="s">
        <v>30</v>
      </c>
      <c r="O34" s="9"/>
      <c r="P34" s="9">
        <v>40.002000000000002</v>
      </c>
      <c r="Q34" s="9"/>
      <c r="R34" s="10"/>
      <c r="S34" s="9"/>
      <c r="T34" s="10"/>
      <c r="U34" s="7" t="s">
        <v>29</v>
      </c>
      <c r="V34" s="5"/>
      <c r="W34" s="5"/>
      <c r="X34" s="5"/>
      <c r="Y34" s="7" t="s">
        <v>31</v>
      </c>
      <c r="Z34" s="7" t="s">
        <v>32</v>
      </c>
    </row>
    <row r="35" spans="1:26" x14ac:dyDescent="0.25">
      <c r="A35" s="9">
        <v>5251</v>
      </c>
      <c r="B35" s="9"/>
      <c r="C35" s="10">
        <v>45677.412175925929</v>
      </c>
      <c r="D35" s="6" t="s">
        <v>26</v>
      </c>
      <c r="E35" s="7" t="s">
        <v>27</v>
      </c>
      <c r="F35" s="7" t="str">
        <f t="shared" si="1"/>
        <v>AGRICOLA Y FORESTAL NAGUILAN S.A.</v>
      </c>
      <c r="G35" s="9" t="s">
        <v>28</v>
      </c>
      <c r="H35" s="7" t="s">
        <v>29</v>
      </c>
      <c r="I35" s="9"/>
      <c r="J35" s="9"/>
      <c r="K35" s="9"/>
      <c r="L35" s="9"/>
      <c r="M35" s="9"/>
      <c r="N35" s="8" t="s">
        <v>30</v>
      </c>
      <c r="O35" s="9"/>
      <c r="P35" s="9">
        <v>41.584000000000003</v>
      </c>
      <c r="Q35" s="9"/>
      <c r="R35" s="10"/>
      <c r="S35" s="9"/>
      <c r="T35" s="10"/>
      <c r="U35" s="7" t="s">
        <v>29</v>
      </c>
      <c r="V35" s="5"/>
      <c r="W35" s="5"/>
      <c r="X35" s="5"/>
      <c r="Y35" s="7" t="s">
        <v>31</v>
      </c>
      <c r="Z35" s="7" t="s">
        <v>32</v>
      </c>
    </row>
    <row r="36" spans="1:26" x14ac:dyDescent="0.25">
      <c r="A36" s="9">
        <v>5252</v>
      </c>
      <c r="B36" s="9"/>
      <c r="C36" s="10">
        <v>45677.528229166666</v>
      </c>
      <c r="D36" s="6" t="s">
        <v>26</v>
      </c>
      <c r="E36" s="7" t="s">
        <v>27</v>
      </c>
      <c r="F36" s="7" t="str">
        <f t="shared" si="1"/>
        <v>AGRICOLA Y FORESTAL NAGUILAN S.A.</v>
      </c>
      <c r="G36" s="9" t="s">
        <v>28</v>
      </c>
      <c r="H36" s="7" t="s">
        <v>29</v>
      </c>
      <c r="I36" s="9"/>
      <c r="J36" s="9"/>
      <c r="K36" s="9"/>
      <c r="L36" s="9"/>
      <c r="M36" s="9"/>
      <c r="N36" s="8" t="s">
        <v>30</v>
      </c>
      <c r="O36" s="9"/>
      <c r="P36" s="9">
        <v>41.057000000000002</v>
      </c>
      <c r="Q36" s="9"/>
      <c r="R36" s="10"/>
      <c r="S36" s="9"/>
      <c r="T36" s="10"/>
      <c r="U36" s="7" t="s">
        <v>29</v>
      </c>
      <c r="V36" s="5"/>
      <c r="W36" s="5"/>
      <c r="X36" s="5"/>
      <c r="Y36" s="7" t="s">
        <v>31</v>
      </c>
      <c r="Z36" s="7" t="s">
        <v>32</v>
      </c>
    </row>
    <row r="37" spans="1:26" x14ac:dyDescent="0.25">
      <c r="A37" s="9">
        <v>5253</v>
      </c>
      <c r="B37" s="9"/>
      <c r="C37" s="10">
        <v>45677.628113425926</v>
      </c>
      <c r="D37" s="6" t="s">
        <v>26</v>
      </c>
      <c r="E37" s="7" t="s">
        <v>27</v>
      </c>
      <c r="F37" s="7" t="str">
        <f t="shared" si="1"/>
        <v>AGRICOLA Y FORESTAL NAGUILAN S.A.</v>
      </c>
      <c r="G37" s="9" t="s">
        <v>28</v>
      </c>
      <c r="H37" s="7" t="s">
        <v>29</v>
      </c>
      <c r="I37" s="9"/>
      <c r="J37" s="9"/>
      <c r="K37" s="9"/>
      <c r="L37" s="9"/>
      <c r="M37" s="9"/>
      <c r="N37" s="8" t="s">
        <v>30</v>
      </c>
      <c r="O37" s="9"/>
      <c r="P37" s="9">
        <v>40.125</v>
      </c>
      <c r="Q37" s="9"/>
      <c r="R37" s="10"/>
      <c r="S37" s="9"/>
      <c r="T37" s="10"/>
      <c r="U37" s="7" t="s">
        <v>29</v>
      </c>
      <c r="V37" s="5"/>
      <c r="W37" s="5"/>
      <c r="X37" s="5"/>
      <c r="Y37" s="7" t="s">
        <v>31</v>
      </c>
      <c r="Z37" s="7" t="s">
        <v>32</v>
      </c>
    </row>
    <row r="38" spans="1:26" x14ac:dyDescent="0.25">
      <c r="A38" s="9">
        <v>5254</v>
      </c>
      <c r="B38" s="9"/>
      <c r="C38" s="10">
        <v>45678.312002314815</v>
      </c>
      <c r="D38" s="6" t="s">
        <v>26</v>
      </c>
      <c r="E38" s="7" t="s">
        <v>27</v>
      </c>
      <c r="F38" s="7" t="str">
        <f t="shared" si="1"/>
        <v>AGRICOLA Y FORESTAL NAGUILAN S.A.</v>
      </c>
      <c r="G38" s="9" t="s">
        <v>28</v>
      </c>
      <c r="H38" s="7" t="s">
        <v>29</v>
      </c>
      <c r="I38" s="9"/>
      <c r="J38" s="9"/>
      <c r="K38" s="9"/>
      <c r="L38" s="9"/>
      <c r="M38" s="9"/>
      <c r="N38" s="8" t="s">
        <v>30</v>
      </c>
      <c r="O38" s="9"/>
      <c r="P38" s="9">
        <v>42.061</v>
      </c>
      <c r="Q38" s="9"/>
      <c r="R38" s="10"/>
      <c r="S38" s="9"/>
      <c r="T38" s="10"/>
      <c r="U38" s="7" t="s">
        <v>29</v>
      </c>
      <c r="V38" s="5"/>
      <c r="W38" s="5"/>
      <c r="X38" s="5"/>
      <c r="Y38" s="7" t="s">
        <v>31</v>
      </c>
      <c r="Z38" s="7" t="s">
        <v>32</v>
      </c>
    </row>
    <row r="39" spans="1:26" x14ac:dyDescent="0.25">
      <c r="A39" s="9">
        <v>5255</v>
      </c>
      <c r="B39" s="9"/>
      <c r="C39" s="10">
        <v>45678.390636574077</v>
      </c>
      <c r="D39" s="6" t="s">
        <v>26</v>
      </c>
      <c r="E39" s="7" t="s">
        <v>27</v>
      </c>
      <c r="F39" s="7" t="str">
        <f t="shared" si="1"/>
        <v>AGRICOLA Y FORESTAL NAGUILAN S.A.</v>
      </c>
      <c r="G39" s="9" t="s">
        <v>28</v>
      </c>
      <c r="H39" s="7" t="s">
        <v>29</v>
      </c>
      <c r="I39" s="9"/>
      <c r="J39" s="9"/>
      <c r="K39" s="9"/>
      <c r="L39" s="9"/>
      <c r="M39" s="9"/>
      <c r="N39" s="8" t="s">
        <v>30</v>
      </c>
      <c r="O39" s="9"/>
      <c r="P39" s="9">
        <v>40.802</v>
      </c>
      <c r="Q39" s="9"/>
      <c r="R39" s="10"/>
      <c r="S39" s="9"/>
      <c r="T39" s="10"/>
      <c r="U39" s="7" t="s">
        <v>29</v>
      </c>
      <c r="V39" s="5"/>
      <c r="W39" s="5"/>
      <c r="X39" s="5"/>
      <c r="Y39" s="7" t="s">
        <v>31</v>
      </c>
      <c r="Z39" s="7" t="s">
        <v>32</v>
      </c>
    </row>
    <row r="40" spans="1:26" x14ac:dyDescent="0.25">
      <c r="A40" s="9">
        <v>5256</v>
      </c>
      <c r="B40" s="9"/>
      <c r="C40" s="10">
        <v>45678.477812500001</v>
      </c>
      <c r="D40" s="6" t="s">
        <v>26</v>
      </c>
      <c r="E40" s="7" t="s">
        <v>27</v>
      </c>
      <c r="F40" s="7" t="str">
        <f t="shared" si="1"/>
        <v>AGRICOLA Y FORESTAL NAGUILAN S.A.</v>
      </c>
      <c r="G40" s="9" t="s">
        <v>28</v>
      </c>
      <c r="H40" s="7" t="s">
        <v>29</v>
      </c>
      <c r="I40" s="9"/>
      <c r="J40" s="9"/>
      <c r="K40" s="9"/>
      <c r="L40" s="9"/>
      <c r="M40" s="9"/>
      <c r="N40" s="8" t="s">
        <v>30</v>
      </c>
      <c r="O40" s="9"/>
      <c r="P40" s="9">
        <v>40.101999999999997</v>
      </c>
      <c r="Q40" s="9"/>
      <c r="R40" s="10"/>
      <c r="S40" s="9"/>
      <c r="T40" s="10"/>
      <c r="U40" s="7" t="s">
        <v>29</v>
      </c>
      <c r="V40" s="5"/>
      <c r="W40" s="5"/>
      <c r="X40" s="5"/>
      <c r="Y40" s="7" t="s">
        <v>31</v>
      </c>
      <c r="Z40" s="7" t="s">
        <v>32</v>
      </c>
    </row>
    <row r="41" spans="1:26" x14ac:dyDescent="0.25">
      <c r="A41" s="9">
        <v>5257</v>
      </c>
      <c r="B41" s="9"/>
      <c r="C41" s="10">
        <v>45678.589097222219</v>
      </c>
      <c r="D41" s="6" t="s">
        <v>26</v>
      </c>
      <c r="E41" s="7" t="s">
        <v>27</v>
      </c>
      <c r="F41" s="7" t="str">
        <f t="shared" si="1"/>
        <v>AGRICOLA Y FORESTAL NAGUILAN S.A.</v>
      </c>
      <c r="G41" s="9" t="s">
        <v>28</v>
      </c>
      <c r="H41" s="7" t="s">
        <v>29</v>
      </c>
      <c r="I41" s="9"/>
      <c r="J41" s="9"/>
      <c r="K41" s="9"/>
      <c r="L41" s="9"/>
      <c r="M41" s="9"/>
      <c r="N41" s="8" t="s">
        <v>30</v>
      </c>
      <c r="O41" s="9"/>
      <c r="P41" s="9">
        <v>40.579000000000001</v>
      </c>
      <c r="Q41" s="9"/>
      <c r="R41" s="10"/>
      <c r="S41" s="9"/>
      <c r="T41" s="10"/>
      <c r="U41" s="7" t="s">
        <v>29</v>
      </c>
      <c r="V41" s="5"/>
      <c r="W41" s="5"/>
      <c r="X41" s="5"/>
      <c r="Y41" s="7" t="s">
        <v>31</v>
      </c>
      <c r="Z41" s="7" t="s">
        <v>32</v>
      </c>
    </row>
    <row r="42" spans="1:26" x14ac:dyDescent="0.25">
      <c r="A42" s="9">
        <v>5258</v>
      </c>
      <c r="B42" s="9"/>
      <c r="C42" s="10">
        <v>45679.319710648146</v>
      </c>
      <c r="D42" s="6" t="s">
        <v>26</v>
      </c>
      <c r="E42" s="7" t="s">
        <v>27</v>
      </c>
      <c r="F42" s="7" t="str">
        <f t="shared" si="1"/>
        <v>AGRICOLA Y FORESTAL NAGUILAN S.A.</v>
      </c>
      <c r="G42" s="9" t="s">
        <v>28</v>
      </c>
      <c r="H42" s="7" t="s">
        <v>29</v>
      </c>
      <c r="I42" s="9"/>
      <c r="J42" s="9"/>
      <c r="K42" s="9"/>
      <c r="L42" s="9"/>
      <c r="M42" s="9"/>
      <c r="N42" s="8" t="s">
        <v>30</v>
      </c>
      <c r="O42" s="9"/>
      <c r="P42" s="9">
        <v>40.951999999999998</v>
      </c>
      <c r="Q42" s="9"/>
      <c r="R42" s="10"/>
      <c r="S42" s="9"/>
      <c r="T42" s="10"/>
      <c r="U42" s="7" t="s">
        <v>29</v>
      </c>
      <c r="V42" s="5"/>
      <c r="W42" s="5"/>
      <c r="X42" s="5"/>
      <c r="Y42" s="7" t="s">
        <v>31</v>
      </c>
      <c r="Z42" s="7" t="s">
        <v>32</v>
      </c>
    </row>
    <row r="43" spans="1:26" x14ac:dyDescent="0.25">
      <c r="A43" s="9">
        <v>5259</v>
      </c>
      <c r="B43" s="9"/>
      <c r="C43" s="10">
        <v>45679.597893518519</v>
      </c>
      <c r="D43" s="6" t="s">
        <v>26</v>
      </c>
      <c r="E43" s="7" t="s">
        <v>27</v>
      </c>
      <c r="F43" s="7" t="str">
        <f t="shared" si="1"/>
        <v>AGRICOLA Y FORESTAL NAGUILAN S.A.</v>
      </c>
      <c r="G43" s="9" t="s">
        <v>28</v>
      </c>
      <c r="H43" s="7" t="s">
        <v>29</v>
      </c>
      <c r="I43" s="9"/>
      <c r="J43" s="9"/>
      <c r="K43" s="9"/>
      <c r="L43" s="9"/>
      <c r="M43" s="9"/>
      <c r="N43" s="8" t="s">
        <v>30</v>
      </c>
      <c r="O43" s="9"/>
      <c r="P43" s="9">
        <v>45.945</v>
      </c>
      <c r="Q43" s="9"/>
      <c r="R43" s="10"/>
      <c r="S43" s="9"/>
      <c r="T43" s="10"/>
      <c r="U43" s="7" t="s">
        <v>29</v>
      </c>
      <c r="V43" s="5"/>
      <c r="W43" s="5"/>
      <c r="X43" s="5"/>
      <c r="Y43" s="7" t="s">
        <v>31</v>
      </c>
      <c r="Z43" s="7" t="s">
        <v>32</v>
      </c>
    </row>
    <row r="44" spans="1:26" x14ac:dyDescent="0.25">
      <c r="A44" s="9">
        <v>5260</v>
      </c>
      <c r="B44" s="9"/>
      <c r="C44" s="10">
        <v>45680.317002314812</v>
      </c>
      <c r="D44" s="6" t="s">
        <v>26</v>
      </c>
      <c r="E44" s="7" t="s">
        <v>27</v>
      </c>
      <c r="F44" s="7" t="str">
        <f t="shared" si="1"/>
        <v>AGRICOLA Y FORESTAL NAGUILAN S.A.</v>
      </c>
      <c r="G44" s="9" t="s">
        <v>28</v>
      </c>
      <c r="H44" s="7" t="s">
        <v>29</v>
      </c>
      <c r="I44" s="9"/>
      <c r="J44" s="9"/>
      <c r="K44" s="9"/>
      <c r="L44" s="9"/>
      <c r="M44" s="9"/>
      <c r="N44" s="8" t="s">
        <v>30</v>
      </c>
      <c r="O44" s="9"/>
      <c r="P44" s="9">
        <v>40.951999999999998</v>
      </c>
      <c r="Q44" s="9"/>
      <c r="R44" s="10"/>
      <c r="S44" s="9"/>
      <c r="T44" s="10"/>
      <c r="U44" s="7" t="s">
        <v>29</v>
      </c>
      <c r="V44" s="5"/>
      <c r="W44" s="5"/>
      <c r="X44" s="5"/>
      <c r="Y44" s="7" t="s">
        <v>31</v>
      </c>
      <c r="Z44" s="7" t="s">
        <v>32</v>
      </c>
    </row>
    <row r="45" spans="1:26" x14ac:dyDescent="0.25">
      <c r="A45" s="9">
        <v>5261</v>
      </c>
      <c r="B45" s="9"/>
      <c r="C45" s="10">
        <v>45680.350648148145</v>
      </c>
      <c r="D45" s="6" t="s">
        <v>26</v>
      </c>
      <c r="E45" s="7" t="s">
        <v>27</v>
      </c>
      <c r="F45" s="7" t="str">
        <f t="shared" si="1"/>
        <v>AGRICOLA Y FORESTAL NAGUILAN S.A.</v>
      </c>
      <c r="G45" s="9" t="s">
        <v>28</v>
      </c>
      <c r="H45" s="7" t="s">
        <v>29</v>
      </c>
      <c r="I45" s="9"/>
      <c r="J45" s="9"/>
      <c r="K45" s="9"/>
      <c r="L45" s="9"/>
      <c r="M45" s="9"/>
      <c r="N45" s="8" t="s">
        <v>30</v>
      </c>
      <c r="O45" s="9"/>
      <c r="P45" s="9">
        <v>44.5</v>
      </c>
      <c r="Q45" s="9"/>
      <c r="R45" s="10"/>
      <c r="S45" s="9"/>
      <c r="T45" s="10"/>
      <c r="U45" s="7" t="s">
        <v>29</v>
      </c>
      <c r="V45" s="5"/>
      <c r="W45" s="5"/>
      <c r="X45" s="5"/>
      <c r="Y45" s="7" t="s">
        <v>31</v>
      </c>
      <c r="Z45" s="7" t="s">
        <v>32</v>
      </c>
    </row>
    <row r="46" spans="1:26" x14ac:dyDescent="0.25">
      <c r="A46" s="9">
        <v>5263</v>
      </c>
      <c r="B46" s="9"/>
      <c r="C46" s="10">
        <v>45680.486898148149</v>
      </c>
      <c r="D46" s="6" t="s">
        <v>26</v>
      </c>
      <c r="E46" s="7" t="s">
        <v>27</v>
      </c>
      <c r="F46" s="7" t="str">
        <f t="shared" si="1"/>
        <v>AGRICOLA Y FORESTAL NAGUILAN S.A.</v>
      </c>
      <c r="G46" s="9" t="s">
        <v>28</v>
      </c>
      <c r="H46" s="7" t="s">
        <v>29</v>
      </c>
      <c r="I46" s="9"/>
      <c r="J46" s="9"/>
      <c r="K46" s="9"/>
      <c r="L46" s="9"/>
      <c r="M46" s="9"/>
      <c r="N46" s="8" t="s">
        <v>30</v>
      </c>
      <c r="O46" s="9"/>
      <c r="P46" s="9">
        <v>42.625</v>
      </c>
      <c r="Q46" s="9"/>
      <c r="R46" s="10"/>
      <c r="S46" s="9"/>
      <c r="T46" s="10"/>
      <c r="U46" s="7" t="s">
        <v>29</v>
      </c>
      <c r="V46" s="5"/>
      <c r="W46" s="5"/>
      <c r="X46" s="5"/>
      <c r="Y46" s="7" t="s">
        <v>31</v>
      </c>
      <c r="Z46" s="7" t="s">
        <v>32</v>
      </c>
    </row>
    <row r="47" spans="1:26" x14ac:dyDescent="0.25">
      <c r="A47" s="9">
        <v>5262</v>
      </c>
      <c r="B47" s="9"/>
      <c r="C47" s="10">
        <v>45680.487650462965</v>
      </c>
      <c r="D47" s="6" t="s">
        <v>26</v>
      </c>
      <c r="E47" s="7" t="s">
        <v>27</v>
      </c>
      <c r="F47" s="7" t="str">
        <f t="shared" si="1"/>
        <v>AGRICOLA Y FORESTAL NAGUILAN S.A.</v>
      </c>
      <c r="G47" s="9" t="s">
        <v>28</v>
      </c>
      <c r="H47" s="7" t="s">
        <v>29</v>
      </c>
      <c r="I47" s="9"/>
      <c r="J47" s="9"/>
      <c r="K47" s="9"/>
      <c r="L47" s="9"/>
      <c r="M47" s="9"/>
      <c r="N47" s="8" t="s">
        <v>30</v>
      </c>
      <c r="O47" s="9"/>
      <c r="P47" s="9">
        <v>41.905000000000001</v>
      </c>
      <c r="Q47" s="9"/>
      <c r="R47" s="10"/>
      <c r="S47" s="9"/>
      <c r="T47" s="10"/>
      <c r="U47" s="7" t="s">
        <v>29</v>
      </c>
      <c r="V47" s="5"/>
      <c r="W47" s="5"/>
      <c r="X47" s="5"/>
      <c r="Y47" s="7" t="s">
        <v>31</v>
      </c>
      <c r="Z47" s="7" t="s">
        <v>32</v>
      </c>
    </row>
    <row r="48" spans="1:26" x14ac:dyDescent="0.25">
      <c r="A48" s="9">
        <v>5264</v>
      </c>
      <c r="B48" s="9"/>
      <c r="C48" s="10">
        <v>45681.308518518519</v>
      </c>
      <c r="D48" s="6" t="s">
        <v>26</v>
      </c>
      <c r="E48" s="7" t="s">
        <v>27</v>
      </c>
      <c r="F48" s="7" t="str">
        <f t="shared" si="1"/>
        <v>AGRICOLA Y FORESTAL NAGUILAN S.A.</v>
      </c>
      <c r="G48" s="9" t="s">
        <v>28</v>
      </c>
      <c r="H48" s="7" t="s">
        <v>29</v>
      </c>
      <c r="I48" s="9"/>
      <c r="J48" s="9"/>
      <c r="K48" s="9"/>
      <c r="L48" s="9"/>
      <c r="M48" s="9"/>
      <c r="N48" s="8" t="s">
        <v>30</v>
      </c>
      <c r="O48" s="9"/>
      <c r="P48" s="9">
        <v>39.014000000000003</v>
      </c>
      <c r="Q48" s="9"/>
      <c r="R48" s="10"/>
      <c r="S48" s="9"/>
      <c r="T48" s="10"/>
      <c r="U48" s="7" t="s">
        <v>29</v>
      </c>
      <c r="V48" s="5"/>
      <c r="W48" s="5"/>
      <c r="X48" s="5"/>
      <c r="Y48" s="7" t="s">
        <v>31</v>
      </c>
      <c r="Z48" s="7" t="s">
        <v>32</v>
      </c>
    </row>
    <row r="49" spans="1:26" x14ac:dyDescent="0.25">
      <c r="A49" s="9">
        <v>5265</v>
      </c>
      <c r="B49" s="9"/>
      <c r="C49" s="10">
        <v>45681.340740740743</v>
      </c>
      <c r="D49" s="6" t="s">
        <v>26</v>
      </c>
      <c r="E49" s="7" t="s">
        <v>27</v>
      </c>
      <c r="F49" s="7" t="str">
        <f t="shared" si="1"/>
        <v>AGRICOLA Y FORESTAL NAGUILAN S.A.</v>
      </c>
      <c r="G49" s="9" t="s">
        <v>28</v>
      </c>
      <c r="H49" s="7" t="s">
        <v>29</v>
      </c>
      <c r="I49" s="9"/>
      <c r="J49" s="9"/>
      <c r="K49" s="9"/>
      <c r="L49" s="9"/>
      <c r="M49" s="9"/>
      <c r="N49" s="8" t="s">
        <v>30</v>
      </c>
      <c r="O49" s="9"/>
      <c r="P49" s="9">
        <v>40.890999999999998</v>
      </c>
      <c r="Q49" s="9"/>
      <c r="R49" s="10"/>
      <c r="S49" s="9"/>
      <c r="T49" s="10"/>
      <c r="U49" s="7" t="s">
        <v>29</v>
      </c>
      <c r="V49" s="5"/>
      <c r="W49" s="5"/>
      <c r="X49" s="5"/>
      <c r="Y49" s="7" t="s">
        <v>31</v>
      </c>
      <c r="Z49" s="7" t="s">
        <v>32</v>
      </c>
    </row>
    <row r="50" spans="1:26" x14ac:dyDescent="0.25">
      <c r="A50" s="9">
        <v>5266</v>
      </c>
      <c r="B50" s="9"/>
      <c r="C50" s="10">
        <v>45681.395324074074</v>
      </c>
      <c r="D50" s="6" t="s">
        <v>26</v>
      </c>
      <c r="E50" s="7" t="s">
        <v>27</v>
      </c>
      <c r="F50" s="7" t="str">
        <f t="shared" si="1"/>
        <v>AGRICOLA Y FORESTAL NAGUILAN S.A.</v>
      </c>
      <c r="G50" s="9" t="s">
        <v>28</v>
      </c>
      <c r="H50" s="7" t="s">
        <v>29</v>
      </c>
      <c r="I50" s="9"/>
      <c r="J50" s="9"/>
      <c r="K50" s="9"/>
      <c r="L50" s="9"/>
      <c r="M50" s="9"/>
      <c r="N50" s="8" t="s">
        <v>30</v>
      </c>
      <c r="O50" s="9"/>
      <c r="P50" s="9">
        <v>39.984000000000002</v>
      </c>
      <c r="Q50" s="9"/>
      <c r="R50" s="10"/>
      <c r="S50" s="9"/>
      <c r="T50" s="10"/>
      <c r="U50" s="7" t="s">
        <v>29</v>
      </c>
      <c r="V50" s="5"/>
      <c r="W50" s="5"/>
      <c r="X50" s="5"/>
      <c r="Y50" s="7" t="s">
        <v>31</v>
      </c>
      <c r="Z50" s="7" t="s">
        <v>32</v>
      </c>
    </row>
    <row r="51" spans="1:26" x14ac:dyDescent="0.25">
      <c r="A51" s="9">
        <v>5267</v>
      </c>
      <c r="B51" s="9"/>
      <c r="C51" s="10">
        <v>45681.43445601852</v>
      </c>
      <c r="D51" s="6" t="s">
        <v>26</v>
      </c>
      <c r="E51" s="7" t="s">
        <v>27</v>
      </c>
      <c r="F51" s="7" t="str">
        <f t="shared" si="1"/>
        <v>AGRICOLA Y FORESTAL NAGUILAN S.A.</v>
      </c>
      <c r="G51" s="9" t="s">
        <v>28</v>
      </c>
      <c r="H51" s="7" t="s">
        <v>29</v>
      </c>
      <c r="I51" s="9"/>
      <c r="J51" s="9"/>
      <c r="K51" s="9"/>
      <c r="L51" s="9"/>
      <c r="M51" s="9"/>
      <c r="N51" s="8" t="s">
        <v>30</v>
      </c>
      <c r="O51" s="9"/>
      <c r="P51" s="9">
        <v>41.488999999999997</v>
      </c>
      <c r="Q51" s="9"/>
      <c r="R51" s="10"/>
      <c r="S51" s="9"/>
      <c r="T51" s="10"/>
      <c r="U51" s="7" t="s">
        <v>29</v>
      </c>
      <c r="V51" s="5"/>
      <c r="W51" s="5"/>
      <c r="X51" s="5"/>
      <c r="Y51" s="7" t="s">
        <v>31</v>
      </c>
      <c r="Z51" s="7" t="s">
        <v>32</v>
      </c>
    </row>
    <row r="52" spans="1:26" x14ac:dyDescent="0.25">
      <c r="A52" s="9">
        <v>5268</v>
      </c>
      <c r="B52" s="9"/>
      <c r="C52" s="10">
        <v>45681.501134259262</v>
      </c>
      <c r="D52" s="6" t="s">
        <v>26</v>
      </c>
      <c r="E52" s="7" t="s">
        <v>27</v>
      </c>
      <c r="F52" s="7" t="str">
        <f t="shared" si="1"/>
        <v>AGRICOLA Y FORESTAL NAGUILAN S.A.</v>
      </c>
      <c r="G52" s="9" t="s">
        <v>28</v>
      </c>
      <c r="H52" s="7" t="s">
        <v>29</v>
      </c>
      <c r="I52" s="9"/>
      <c r="J52" s="9"/>
      <c r="K52" s="9"/>
      <c r="L52" s="9"/>
      <c r="M52" s="9"/>
      <c r="N52" s="8" t="s">
        <v>30</v>
      </c>
      <c r="O52" s="9"/>
      <c r="P52" s="9">
        <v>40.615000000000002</v>
      </c>
      <c r="Q52" s="9"/>
      <c r="R52" s="10"/>
      <c r="S52" s="9"/>
      <c r="T52" s="10"/>
      <c r="U52" s="7" t="s">
        <v>29</v>
      </c>
      <c r="V52" s="5"/>
      <c r="W52" s="5"/>
      <c r="X52" s="5"/>
      <c r="Y52" s="7" t="s">
        <v>31</v>
      </c>
      <c r="Z52" s="7" t="s">
        <v>32</v>
      </c>
    </row>
    <row r="53" spans="1:26" x14ac:dyDescent="0.25">
      <c r="A53" s="9">
        <v>5269</v>
      </c>
      <c r="B53" s="9"/>
      <c r="C53" s="10">
        <v>45684.318472222221</v>
      </c>
      <c r="D53" s="6" t="s">
        <v>26</v>
      </c>
      <c r="E53" s="7" t="s">
        <v>27</v>
      </c>
      <c r="F53" s="7" t="str">
        <f t="shared" si="1"/>
        <v>AGRICOLA Y FORESTAL NAGUILAN S.A.</v>
      </c>
      <c r="G53" s="9" t="s">
        <v>28</v>
      </c>
      <c r="H53" s="7" t="s">
        <v>29</v>
      </c>
      <c r="I53" s="9"/>
      <c r="J53" s="9"/>
      <c r="K53" s="9"/>
      <c r="L53" s="9"/>
      <c r="M53" s="9"/>
      <c r="N53" s="8" t="s">
        <v>30</v>
      </c>
      <c r="O53" s="9"/>
      <c r="P53" s="9">
        <v>40.447000000000003</v>
      </c>
      <c r="Q53" s="9"/>
      <c r="R53" s="10"/>
      <c r="S53" s="9"/>
      <c r="T53" s="10"/>
      <c r="U53" s="7" t="s">
        <v>29</v>
      </c>
      <c r="V53" s="5"/>
      <c r="W53" s="5"/>
      <c r="X53" s="5"/>
      <c r="Y53" s="7" t="s">
        <v>31</v>
      </c>
      <c r="Z53" s="7" t="s">
        <v>32</v>
      </c>
    </row>
    <row r="54" spans="1:26" x14ac:dyDescent="0.25">
      <c r="A54" s="9">
        <v>5260</v>
      </c>
      <c r="B54" s="9"/>
      <c r="C54" s="10">
        <v>45684.433182870373</v>
      </c>
      <c r="D54" s="6" t="s">
        <v>26</v>
      </c>
      <c r="E54" s="7" t="s">
        <v>27</v>
      </c>
      <c r="F54" s="7" t="str">
        <f t="shared" si="1"/>
        <v>AGRICOLA Y FORESTAL NAGUILAN S.A.</v>
      </c>
      <c r="G54" s="9" t="s">
        <v>28</v>
      </c>
      <c r="H54" s="7" t="s">
        <v>29</v>
      </c>
      <c r="I54" s="9"/>
      <c r="J54" s="9"/>
      <c r="K54" s="9"/>
      <c r="L54" s="9"/>
      <c r="M54" s="9"/>
      <c r="N54" s="8" t="s">
        <v>30</v>
      </c>
      <c r="O54" s="9"/>
      <c r="P54" s="9">
        <v>41.314999999999998</v>
      </c>
      <c r="Q54" s="9"/>
      <c r="R54" s="10"/>
      <c r="S54" s="9"/>
      <c r="T54" s="10"/>
      <c r="U54" s="7" t="s">
        <v>29</v>
      </c>
      <c r="V54" s="5"/>
      <c r="W54" s="5"/>
      <c r="X54" s="5"/>
      <c r="Y54" s="7" t="s">
        <v>31</v>
      </c>
      <c r="Z54" s="7" t="s">
        <v>32</v>
      </c>
    </row>
    <row r="55" spans="1:26" x14ac:dyDescent="0.25">
      <c r="A55" s="9">
        <v>5271</v>
      </c>
      <c r="B55" s="9"/>
      <c r="C55" s="10">
        <v>45684.559849537036</v>
      </c>
      <c r="D55" s="6" t="s">
        <v>26</v>
      </c>
      <c r="E55" s="7" t="s">
        <v>27</v>
      </c>
      <c r="F55" s="7" t="str">
        <f t="shared" si="1"/>
        <v>AGRICOLA Y FORESTAL NAGUILAN S.A.</v>
      </c>
      <c r="G55" s="9" t="s">
        <v>28</v>
      </c>
      <c r="H55" s="7" t="s">
        <v>29</v>
      </c>
      <c r="I55" s="9"/>
      <c r="J55" s="9"/>
      <c r="K55" s="9"/>
      <c r="L55" s="9"/>
      <c r="M55" s="9"/>
      <c r="N55" s="8" t="s">
        <v>30</v>
      </c>
      <c r="O55" s="9"/>
      <c r="P55" s="9">
        <v>41.179000000000002</v>
      </c>
      <c r="Q55" s="9"/>
      <c r="R55" s="10"/>
      <c r="S55" s="9"/>
      <c r="T55" s="10"/>
      <c r="U55" s="7" t="s">
        <v>29</v>
      </c>
      <c r="V55" s="5"/>
      <c r="W55" s="5"/>
      <c r="X55" s="5"/>
      <c r="Y55" s="7" t="s">
        <v>31</v>
      </c>
      <c r="Z55" s="7" t="s">
        <v>32</v>
      </c>
    </row>
    <row r="56" spans="1:26" x14ac:dyDescent="0.25">
      <c r="A56" s="9">
        <v>5272</v>
      </c>
      <c r="B56" s="9"/>
      <c r="C56" s="10">
        <v>45684.641921296294</v>
      </c>
      <c r="D56" s="6" t="s">
        <v>26</v>
      </c>
      <c r="E56" s="7" t="s">
        <v>27</v>
      </c>
      <c r="F56" s="7" t="str">
        <f t="shared" si="1"/>
        <v>AGRICOLA Y FORESTAL NAGUILAN S.A.</v>
      </c>
      <c r="G56" s="9" t="s">
        <v>28</v>
      </c>
      <c r="H56" s="7" t="s">
        <v>29</v>
      </c>
      <c r="I56" s="9"/>
      <c r="J56" s="9"/>
      <c r="K56" s="9"/>
      <c r="L56" s="9"/>
      <c r="M56" s="9"/>
      <c r="N56" s="8" t="s">
        <v>30</v>
      </c>
      <c r="O56" s="9"/>
      <c r="P56" s="9">
        <v>39.634999999999998</v>
      </c>
      <c r="Q56" s="9"/>
      <c r="R56" s="10"/>
      <c r="S56" s="9"/>
      <c r="T56" s="10"/>
      <c r="U56" s="7" t="s">
        <v>29</v>
      </c>
      <c r="V56" s="5"/>
      <c r="W56" s="5"/>
      <c r="X56" s="5"/>
      <c r="Y56" s="7" t="s">
        <v>31</v>
      </c>
      <c r="Z56" s="7" t="s">
        <v>32</v>
      </c>
    </row>
    <row r="57" spans="1:26" x14ac:dyDescent="0.25">
      <c r="A57" s="9">
        <v>5273</v>
      </c>
      <c r="B57" s="9"/>
      <c r="C57" s="10">
        <v>45685.313078703701</v>
      </c>
      <c r="D57" s="6" t="s">
        <v>26</v>
      </c>
      <c r="E57" s="7" t="s">
        <v>27</v>
      </c>
      <c r="F57" s="7" t="str">
        <f t="shared" si="1"/>
        <v>AGRICOLA Y FORESTAL NAGUILAN S.A.</v>
      </c>
      <c r="G57" s="9" t="s">
        <v>28</v>
      </c>
      <c r="H57" s="7" t="s">
        <v>29</v>
      </c>
      <c r="I57" s="9"/>
      <c r="J57" s="9"/>
      <c r="K57" s="9"/>
      <c r="L57" s="9"/>
      <c r="M57" s="9"/>
      <c r="N57" s="8" t="s">
        <v>30</v>
      </c>
      <c r="O57" s="9"/>
      <c r="P57" s="9">
        <v>41.036999999999999</v>
      </c>
      <c r="Q57" s="9"/>
      <c r="R57" s="10"/>
      <c r="S57" s="9"/>
      <c r="T57" s="10"/>
      <c r="U57" s="7" t="s">
        <v>29</v>
      </c>
      <c r="V57" s="5"/>
      <c r="W57" s="5"/>
      <c r="X57" s="5"/>
      <c r="Y57" s="7" t="s">
        <v>31</v>
      </c>
      <c r="Z57" s="7" t="s">
        <v>32</v>
      </c>
    </row>
    <row r="58" spans="1:26" x14ac:dyDescent="0.25">
      <c r="A58" s="9">
        <v>5274</v>
      </c>
      <c r="B58" s="9"/>
      <c r="C58" s="10">
        <v>45685.391481481478</v>
      </c>
      <c r="D58" s="6" t="s">
        <v>26</v>
      </c>
      <c r="E58" s="7" t="s">
        <v>27</v>
      </c>
      <c r="F58" s="7" t="str">
        <f t="shared" si="1"/>
        <v>AGRICOLA Y FORESTAL NAGUILAN S.A.</v>
      </c>
      <c r="G58" s="9" t="s">
        <v>28</v>
      </c>
      <c r="H58" s="7" t="s">
        <v>29</v>
      </c>
      <c r="I58" s="9"/>
      <c r="J58" s="9"/>
      <c r="K58" s="9"/>
      <c r="L58" s="9"/>
      <c r="M58" s="9"/>
      <c r="N58" s="8" t="s">
        <v>30</v>
      </c>
      <c r="O58" s="9"/>
      <c r="P58" s="9">
        <v>41.079000000000001</v>
      </c>
      <c r="Q58" s="9"/>
      <c r="R58" s="10"/>
      <c r="S58" s="9"/>
      <c r="T58" s="10"/>
      <c r="U58" s="7" t="s">
        <v>29</v>
      </c>
      <c r="V58" s="5"/>
      <c r="W58" s="5"/>
      <c r="X58" s="5"/>
      <c r="Y58" s="7" t="s">
        <v>31</v>
      </c>
      <c r="Z58" s="7" t="s">
        <v>32</v>
      </c>
    </row>
    <row r="59" spans="1:26" x14ac:dyDescent="0.25">
      <c r="A59" s="9">
        <v>5275</v>
      </c>
      <c r="B59" s="9"/>
      <c r="C59" s="10">
        <v>45685.474641203706</v>
      </c>
      <c r="D59" s="6" t="s">
        <v>26</v>
      </c>
      <c r="E59" s="7" t="s">
        <v>27</v>
      </c>
      <c r="F59" s="7" t="str">
        <f t="shared" si="1"/>
        <v>AGRICOLA Y FORESTAL NAGUILAN S.A.</v>
      </c>
      <c r="G59" s="9" t="s">
        <v>28</v>
      </c>
      <c r="H59" s="7" t="s">
        <v>29</v>
      </c>
      <c r="I59" s="9"/>
      <c r="J59" s="9"/>
      <c r="K59" s="9"/>
      <c r="L59" s="9"/>
      <c r="M59" s="9"/>
      <c r="N59" s="8" t="s">
        <v>30</v>
      </c>
      <c r="O59" s="9"/>
      <c r="P59" s="9">
        <v>41.835000000000001</v>
      </c>
      <c r="Q59" s="9"/>
      <c r="R59" s="10"/>
      <c r="S59" s="9"/>
      <c r="T59" s="10"/>
      <c r="U59" s="7" t="s">
        <v>29</v>
      </c>
      <c r="V59" s="5"/>
      <c r="W59" s="5"/>
      <c r="X59" s="5"/>
      <c r="Y59" s="7" t="s">
        <v>31</v>
      </c>
      <c r="Z59" s="7" t="s">
        <v>32</v>
      </c>
    </row>
    <row r="60" spans="1:26" x14ac:dyDescent="0.25">
      <c r="A60" s="9">
        <v>5276</v>
      </c>
      <c r="B60" s="9"/>
      <c r="C60" s="10">
        <v>45685.599120370367</v>
      </c>
      <c r="D60" s="6" t="s">
        <v>26</v>
      </c>
      <c r="E60" s="7" t="s">
        <v>27</v>
      </c>
      <c r="F60" s="7" t="str">
        <f t="shared" si="1"/>
        <v>AGRICOLA Y FORESTAL NAGUILAN S.A.</v>
      </c>
      <c r="G60" s="9" t="s">
        <v>28</v>
      </c>
      <c r="H60" s="7" t="s">
        <v>29</v>
      </c>
      <c r="I60" s="9"/>
      <c r="J60" s="9"/>
      <c r="K60" s="9"/>
      <c r="L60" s="9"/>
      <c r="M60" s="9"/>
      <c r="N60" s="8" t="s">
        <v>30</v>
      </c>
      <c r="O60" s="9"/>
      <c r="P60" s="9">
        <v>40.253</v>
      </c>
      <c r="Q60" s="9"/>
      <c r="R60" s="10"/>
      <c r="S60" s="9"/>
      <c r="T60" s="10"/>
      <c r="U60" s="7" t="s">
        <v>29</v>
      </c>
      <c r="V60" s="5"/>
      <c r="W60" s="5"/>
      <c r="X60" s="5"/>
      <c r="Y60" s="7" t="s">
        <v>31</v>
      </c>
      <c r="Z60" s="7" t="s">
        <v>32</v>
      </c>
    </row>
    <row r="61" spans="1:26" x14ac:dyDescent="0.25">
      <c r="A61" s="9">
        <v>5277</v>
      </c>
      <c r="B61" s="9"/>
      <c r="C61" s="10">
        <v>45686.312280092592</v>
      </c>
      <c r="D61" s="6" t="s">
        <v>26</v>
      </c>
      <c r="E61" s="7" t="s">
        <v>27</v>
      </c>
      <c r="F61" s="7" t="str">
        <f t="shared" si="1"/>
        <v>AGRICOLA Y FORESTAL NAGUILAN S.A.</v>
      </c>
      <c r="G61" s="9" t="s">
        <v>28</v>
      </c>
      <c r="H61" s="7" t="s">
        <v>29</v>
      </c>
      <c r="I61" s="9"/>
      <c r="J61" s="9"/>
      <c r="K61" s="9"/>
      <c r="L61" s="9"/>
      <c r="M61" s="9"/>
      <c r="N61" s="8" t="s">
        <v>30</v>
      </c>
      <c r="O61" s="9"/>
      <c r="P61" s="9">
        <v>40.040999999999997</v>
      </c>
      <c r="Q61" s="9"/>
      <c r="R61" s="10"/>
      <c r="S61" s="9"/>
      <c r="T61" s="10"/>
      <c r="U61" s="7" t="s">
        <v>29</v>
      </c>
      <c r="V61" s="5"/>
      <c r="W61" s="5"/>
      <c r="X61" s="5"/>
      <c r="Y61" s="7" t="s">
        <v>31</v>
      </c>
      <c r="Z61" s="7" t="s">
        <v>32</v>
      </c>
    </row>
    <row r="62" spans="1:26" x14ac:dyDescent="0.25">
      <c r="A62" s="9">
        <v>5278</v>
      </c>
      <c r="B62" s="9"/>
      <c r="C62" s="10">
        <v>45686.39439814815</v>
      </c>
      <c r="D62" s="6" t="s">
        <v>26</v>
      </c>
      <c r="E62" s="7" t="s">
        <v>27</v>
      </c>
      <c r="F62" s="7" t="str">
        <f t="shared" si="1"/>
        <v>AGRICOLA Y FORESTAL NAGUILAN S.A.</v>
      </c>
      <c r="G62" s="9" t="s">
        <v>28</v>
      </c>
      <c r="H62" s="7" t="s">
        <v>29</v>
      </c>
      <c r="I62" s="9"/>
      <c r="J62" s="9"/>
      <c r="K62" s="9"/>
      <c r="L62" s="9"/>
      <c r="M62" s="9"/>
      <c r="N62" s="8" t="s">
        <v>30</v>
      </c>
      <c r="O62" s="9"/>
      <c r="P62" s="9">
        <v>39.712000000000003</v>
      </c>
      <c r="Q62" s="9"/>
      <c r="R62" s="10"/>
      <c r="S62" s="9"/>
      <c r="T62" s="10"/>
      <c r="U62" s="7" t="s">
        <v>29</v>
      </c>
      <c r="V62" s="5"/>
      <c r="W62" s="5"/>
      <c r="X62" s="5"/>
      <c r="Y62" s="7" t="s">
        <v>31</v>
      </c>
      <c r="Z62" s="7" t="s">
        <v>32</v>
      </c>
    </row>
    <row r="63" spans="1:26" x14ac:dyDescent="0.25">
      <c r="A63" s="9">
        <v>5279</v>
      </c>
      <c r="B63" s="9"/>
      <c r="C63" s="10">
        <v>45686.477303240739</v>
      </c>
      <c r="D63" s="6" t="s">
        <v>26</v>
      </c>
      <c r="E63" s="7" t="s">
        <v>27</v>
      </c>
      <c r="F63" s="7" t="str">
        <f t="shared" si="1"/>
        <v>AGRICOLA Y FORESTAL NAGUILAN S.A.</v>
      </c>
      <c r="G63" s="9" t="s">
        <v>28</v>
      </c>
      <c r="H63" s="7" t="s">
        <v>29</v>
      </c>
      <c r="I63" s="9"/>
      <c r="J63" s="9"/>
      <c r="K63" s="9"/>
      <c r="L63" s="9"/>
      <c r="M63" s="9"/>
      <c r="N63" s="8" t="s">
        <v>30</v>
      </c>
      <c r="O63" s="9"/>
      <c r="P63" s="9">
        <v>39.576000000000001</v>
      </c>
      <c r="Q63" s="9"/>
      <c r="R63" s="10"/>
      <c r="S63" s="9"/>
      <c r="T63" s="10"/>
      <c r="U63" s="7" t="s">
        <v>29</v>
      </c>
      <c r="V63" s="5"/>
      <c r="W63" s="5"/>
      <c r="X63" s="5"/>
      <c r="Y63" s="7" t="s">
        <v>31</v>
      </c>
      <c r="Z63" s="7" t="s">
        <v>32</v>
      </c>
    </row>
    <row r="64" spans="1:26" x14ac:dyDescent="0.25">
      <c r="A64" s="9">
        <v>5280</v>
      </c>
      <c r="B64" s="9"/>
      <c r="C64" s="10">
        <v>45686.635671296295</v>
      </c>
      <c r="D64" s="6" t="s">
        <v>26</v>
      </c>
      <c r="E64" s="7" t="s">
        <v>27</v>
      </c>
      <c r="F64" s="7" t="str">
        <f t="shared" si="1"/>
        <v>AGRICOLA Y FORESTAL NAGUILAN S.A.</v>
      </c>
      <c r="G64" s="9" t="s">
        <v>28</v>
      </c>
      <c r="H64" s="7" t="s">
        <v>29</v>
      </c>
      <c r="I64" s="9"/>
      <c r="J64" s="9"/>
      <c r="K64" s="9"/>
      <c r="L64" s="9"/>
      <c r="M64" s="9"/>
      <c r="N64" s="8" t="s">
        <v>30</v>
      </c>
      <c r="O64" s="9"/>
      <c r="P64" s="9">
        <v>40.847000000000001</v>
      </c>
      <c r="Q64" s="9"/>
      <c r="R64" s="10"/>
      <c r="S64" s="9"/>
      <c r="T64" s="10"/>
      <c r="U64" s="7" t="s">
        <v>29</v>
      </c>
      <c r="V64" s="5"/>
      <c r="W64" s="5"/>
      <c r="X64" s="5"/>
      <c r="Y64" s="7" t="s">
        <v>31</v>
      </c>
      <c r="Z64" s="7" t="s">
        <v>32</v>
      </c>
    </row>
    <row r="65" spans="1:26" x14ac:dyDescent="0.25">
      <c r="A65" s="9">
        <v>5281</v>
      </c>
      <c r="B65" s="9"/>
      <c r="C65" s="10">
        <v>45687.316018518519</v>
      </c>
      <c r="D65" s="6" t="s">
        <v>26</v>
      </c>
      <c r="E65" s="7" t="s">
        <v>27</v>
      </c>
      <c r="F65" s="7" t="str">
        <f t="shared" si="1"/>
        <v>AGRICOLA Y FORESTAL NAGUILAN S.A.</v>
      </c>
      <c r="G65" s="9" t="s">
        <v>28</v>
      </c>
      <c r="H65" s="7" t="s">
        <v>29</v>
      </c>
      <c r="I65" s="9"/>
      <c r="J65" s="9"/>
      <c r="K65" s="9"/>
      <c r="L65" s="9"/>
      <c r="M65" s="9"/>
      <c r="N65" s="8" t="s">
        <v>30</v>
      </c>
      <c r="O65" s="9"/>
      <c r="P65" s="9">
        <v>36.081000000000003</v>
      </c>
      <c r="Q65" s="9"/>
      <c r="R65" s="10"/>
      <c r="S65" s="9"/>
      <c r="T65" s="10"/>
      <c r="U65" s="7" t="s">
        <v>29</v>
      </c>
      <c r="V65" s="5"/>
      <c r="W65" s="5"/>
      <c r="X65" s="5"/>
      <c r="Y65" s="7" t="s">
        <v>31</v>
      </c>
      <c r="Z65" s="7" t="s">
        <v>32</v>
      </c>
    </row>
    <row r="66" spans="1:26" x14ac:dyDescent="0.25">
      <c r="A66" s="9">
        <v>5282</v>
      </c>
      <c r="B66" s="9"/>
      <c r="C66" s="10">
        <v>45687.415821759256</v>
      </c>
      <c r="D66" s="6" t="s">
        <v>26</v>
      </c>
      <c r="E66" s="7" t="s">
        <v>27</v>
      </c>
      <c r="F66" s="7" t="str">
        <f t="shared" ref="F66:F97" si="2">+E66</f>
        <v>AGRICOLA Y FORESTAL NAGUILAN S.A.</v>
      </c>
      <c r="G66" s="9" t="s">
        <v>28</v>
      </c>
      <c r="H66" s="7" t="s">
        <v>29</v>
      </c>
      <c r="I66" s="9"/>
      <c r="J66" s="9"/>
      <c r="K66" s="9"/>
      <c r="L66" s="9"/>
      <c r="M66" s="9"/>
      <c r="N66" s="8" t="s">
        <v>30</v>
      </c>
      <c r="O66" s="9"/>
      <c r="P66" s="9">
        <v>38.680999999999997</v>
      </c>
      <c r="Q66" s="9"/>
      <c r="R66" s="10"/>
      <c r="S66" s="9"/>
      <c r="T66" s="10"/>
      <c r="U66" s="7" t="s">
        <v>29</v>
      </c>
      <c r="V66" s="5"/>
      <c r="W66" s="5"/>
      <c r="X66" s="5"/>
      <c r="Y66" s="7" t="s">
        <v>31</v>
      </c>
      <c r="Z66" s="7" t="s">
        <v>32</v>
      </c>
    </row>
    <row r="67" spans="1:26" x14ac:dyDescent="0.25">
      <c r="A67" s="9">
        <v>5283</v>
      </c>
      <c r="B67" s="9"/>
      <c r="C67" s="10">
        <v>45687.536238425928</v>
      </c>
      <c r="D67" s="6" t="s">
        <v>26</v>
      </c>
      <c r="E67" s="7" t="s">
        <v>27</v>
      </c>
      <c r="F67" s="7" t="str">
        <f t="shared" si="2"/>
        <v>AGRICOLA Y FORESTAL NAGUILAN S.A.</v>
      </c>
      <c r="G67" s="9" t="s">
        <v>28</v>
      </c>
      <c r="H67" s="7" t="s">
        <v>29</v>
      </c>
      <c r="I67" s="9"/>
      <c r="J67" s="9"/>
      <c r="K67" s="9"/>
      <c r="L67" s="9"/>
      <c r="M67" s="9"/>
      <c r="N67" s="8" t="s">
        <v>30</v>
      </c>
      <c r="O67" s="9"/>
      <c r="P67" s="9">
        <v>39.716999999999999</v>
      </c>
      <c r="Q67" s="9"/>
      <c r="R67" s="10"/>
      <c r="S67" s="9"/>
      <c r="T67" s="10"/>
      <c r="U67" s="7" t="s">
        <v>29</v>
      </c>
      <c r="V67" s="5"/>
      <c r="W67" s="5"/>
      <c r="X67" s="5"/>
      <c r="Y67" s="7" t="s">
        <v>31</v>
      </c>
      <c r="Z67" s="7" t="s">
        <v>32</v>
      </c>
    </row>
    <row r="68" spans="1:26" x14ac:dyDescent="0.25">
      <c r="P68">
        <f>SUM(P2:P67)</f>
        <v>2674.217000000001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5"/>
  <sheetViews>
    <sheetView topLeftCell="D43" workbookViewId="0">
      <selection activeCell="J62" sqref="J62"/>
    </sheetView>
  </sheetViews>
  <sheetFormatPr baseColWidth="10" defaultRowHeight="15" x14ac:dyDescent="0.25"/>
  <cols>
    <col min="3" max="3" width="11.42578125" customWidth="1"/>
  </cols>
  <sheetData>
    <row r="1" spans="1:27" s="4" customFormat="1" ht="4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</row>
    <row r="2" spans="1:27" x14ac:dyDescent="0.25">
      <c r="A2" s="9">
        <v>5284</v>
      </c>
      <c r="B2" s="9"/>
      <c r="C2" s="10">
        <v>45691.348182870373</v>
      </c>
      <c r="D2" s="6" t="s">
        <v>26</v>
      </c>
      <c r="E2" s="7" t="s">
        <v>27</v>
      </c>
      <c r="F2" s="7" t="str">
        <f t="shared" ref="F2:F33" si="0">+E2</f>
        <v>AGRICOLA Y FORESTAL NAGUILAN S.A.</v>
      </c>
      <c r="G2" s="9" t="s">
        <v>28</v>
      </c>
      <c r="H2" s="7" t="s">
        <v>29</v>
      </c>
      <c r="I2" s="9"/>
      <c r="J2" s="9"/>
      <c r="K2" s="9"/>
      <c r="L2" s="9"/>
      <c r="M2" s="9"/>
      <c r="N2" s="8" t="s">
        <v>30</v>
      </c>
      <c r="O2" s="9"/>
      <c r="P2" s="9">
        <v>38.036000000000001</v>
      </c>
      <c r="Q2" s="9"/>
      <c r="R2" s="10"/>
      <c r="S2" s="9"/>
      <c r="T2" s="10"/>
      <c r="U2" s="7" t="s">
        <v>29</v>
      </c>
      <c r="V2" s="5"/>
      <c r="W2" s="5"/>
      <c r="X2" s="5"/>
      <c r="Y2" s="7" t="s">
        <v>31</v>
      </c>
      <c r="Z2" s="7" t="s">
        <v>32</v>
      </c>
    </row>
    <row r="3" spans="1:27" x14ac:dyDescent="0.25">
      <c r="A3" s="9">
        <v>5285</v>
      </c>
      <c r="B3" s="9"/>
      <c r="C3" s="10">
        <v>45691.548472222225</v>
      </c>
      <c r="D3" s="6" t="s">
        <v>26</v>
      </c>
      <c r="E3" s="7" t="s">
        <v>27</v>
      </c>
      <c r="F3" s="7" t="str">
        <f t="shared" si="0"/>
        <v>AGRICOLA Y FORESTAL NAGUILAN S.A.</v>
      </c>
      <c r="G3" s="9" t="s">
        <v>28</v>
      </c>
      <c r="H3" s="7" t="s">
        <v>29</v>
      </c>
      <c r="I3" s="9"/>
      <c r="J3" s="9"/>
      <c r="K3" s="9"/>
      <c r="L3" s="9"/>
      <c r="M3" s="9"/>
      <c r="N3" s="8" t="s">
        <v>30</v>
      </c>
      <c r="O3" s="9"/>
      <c r="P3" s="9">
        <v>40.804000000000002</v>
      </c>
      <c r="Q3" s="9"/>
      <c r="R3" s="10"/>
      <c r="S3" s="9"/>
      <c r="T3" s="10"/>
      <c r="U3" s="7" t="s">
        <v>29</v>
      </c>
      <c r="V3" s="5"/>
      <c r="W3" s="5"/>
      <c r="X3" s="5"/>
      <c r="Y3" s="7" t="s">
        <v>31</v>
      </c>
      <c r="Z3" s="7" t="s">
        <v>32</v>
      </c>
    </row>
    <row r="4" spans="1:27" x14ac:dyDescent="0.25">
      <c r="A4" s="9">
        <v>5286</v>
      </c>
      <c r="B4" s="9"/>
      <c r="C4" s="10">
        <v>45691.636689814812</v>
      </c>
      <c r="D4" s="6" t="s">
        <v>26</v>
      </c>
      <c r="E4" s="7" t="s">
        <v>27</v>
      </c>
      <c r="F4" s="7" t="str">
        <f t="shared" si="0"/>
        <v>AGRICOLA Y FORESTAL NAGUILAN S.A.</v>
      </c>
      <c r="G4" s="9" t="s">
        <v>28</v>
      </c>
      <c r="H4" s="7" t="s">
        <v>29</v>
      </c>
      <c r="I4" s="9"/>
      <c r="J4" s="9"/>
      <c r="K4" s="9"/>
      <c r="L4" s="9"/>
      <c r="M4" s="9"/>
      <c r="N4" s="8" t="s">
        <v>30</v>
      </c>
      <c r="O4" s="9"/>
      <c r="P4" s="9">
        <v>40.042999999999999</v>
      </c>
      <c r="Q4" s="9"/>
      <c r="R4" s="10"/>
      <c r="S4" s="9"/>
      <c r="T4" s="10"/>
      <c r="U4" s="7" t="s">
        <v>29</v>
      </c>
      <c r="V4" s="5"/>
      <c r="W4" s="5"/>
      <c r="X4" s="5"/>
      <c r="Y4" s="7" t="s">
        <v>31</v>
      </c>
      <c r="Z4" s="7" t="s">
        <v>32</v>
      </c>
    </row>
    <row r="5" spans="1:27" x14ac:dyDescent="0.25">
      <c r="A5" s="9">
        <v>5287</v>
      </c>
      <c r="B5" s="9"/>
      <c r="C5" s="10">
        <v>45692.312523148146</v>
      </c>
      <c r="D5" s="6" t="s">
        <v>26</v>
      </c>
      <c r="E5" s="7" t="s">
        <v>27</v>
      </c>
      <c r="F5" s="7" t="str">
        <f t="shared" si="0"/>
        <v>AGRICOLA Y FORESTAL NAGUILAN S.A.</v>
      </c>
      <c r="G5" s="9" t="s">
        <v>28</v>
      </c>
      <c r="H5" s="7" t="s">
        <v>29</v>
      </c>
      <c r="I5" s="9"/>
      <c r="J5" s="9"/>
      <c r="K5" s="9"/>
      <c r="L5" s="9"/>
      <c r="M5" s="9"/>
      <c r="N5" s="8" t="s">
        <v>30</v>
      </c>
      <c r="O5" s="9"/>
      <c r="P5" s="9">
        <v>40.207000000000001</v>
      </c>
      <c r="Q5" s="9"/>
      <c r="R5" s="10"/>
      <c r="S5" s="9"/>
      <c r="T5" s="10"/>
      <c r="U5" s="7" t="s">
        <v>29</v>
      </c>
      <c r="V5" s="5"/>
      <c r="W5" s="5"/>
      <c r="X5" s="5"/>
      <c r="Y5" s="7" t="s">
        <v>31</v>
      </c>
      <c r="Z5" s="7" t="s">
        <v>32</v>
      </c>
    </row>
    <row r="6" spans="1:27" x14ac:dyDescent="0.25">
      <c r="A6" s="9">
        <v>5288</v>
      </c>
      <c r="B6" s="9"/>
      <c r="C6" s="10">
        <v>45692.416932870372</v>
      </c>
      <c r="D6" s="6" t="s">
        <v>26</v>
      </c>
      <c r="E6" s="7" t="s">
        <v>27</v>
      </c>
      <c r="F6" s="7" t="str">
        <f t="shared" si="0"/>
        <v>AGRICOLA Y FORESTAL NAGUILAN S.A.</v>
      </c>
      <c r="G6" s="9" t="s">
        <v>28</v>
      </c>
      <c r="H6" s="7" t="s">
        <v>29</v>
      </c>
      <c r="I6" s="9"/>
      <c r="J6" s="9"/>
      <c r="K6" s="9"/>
      <c r="L6" s="9"/>
      <c r="M6" s="9"/>
      <c r="N6" s="8" t="s">
        <v>30</v>
      </c>
      <c r="O6" s="9"/>
      <c r="P6" s="9">
        <v>40.29</v>
      </c>
      <c r="Q6" s="9"/>
      <c r="R6" s="10"/>
      <c r="S6" s="9"/>
      <c r="T6" s="10"/>
      <c r="U6" s="7" t="s">
        <v>29</v>
      </c>
      <c r="V6" s="5"/>
      <c r="W6" s="5"/>
      <c r="X6" s="5"/>
      <c r="Y6" s="7" t="s">
        <v>31</v>
      </c>
      <c r="Z6" s="7" t="s">
        <v>32</v>
      </c>
    </row>
    <row r="7" spans="1:27" x14ac:dyDescent="0.25">
      <c r="A7" s="9">
        <v>5289</v>
      </c>
      <c r="B7" s="9"/>
      <c r="C7" s="10">
        <v>45692.507372685184</v>
      </c>
      <c r="D7" s="6" t="s">
        <v>26</v>
      </c>
      <c r="E7" s="7" t="s">
        <v>27</v>
      </c>
      <c r="F7" s="7" t="str">
        <f t="shared" si="0"/>
        <v>AGRICOLA Y FORESTAL NAGUILAN S.A.</v>
      </c>
      <c r="G7" s="9" t="s">
        <v>28</v>
      </c>
      <c r="H7" s="7" t="s">
        <v>29</v>
      </c>
      <c r="I7" s="9"/>
      <c r="J7" s="9"/>
      <c r="K7" s="9"/>
      <c r="L7" s="9"/>
      <c r="M7" s="9"/>
      <c r="N7" s="8" t="s">
        <v>30</v>
      </c>
      <c r="O7" s="9"/>
      <c r="P7" s="9">
        <v>40.820999999999998</v>
      </c>
      <c r="Q7" s="9"/>
      <c r="R7" s="10"/>
      <c r="S7" s="9"/>
      <c r="T7" s="10"/>
      <c r="U7" s="7" t="s">
        <v>29</v>
      </c>
      <c r="V7" s="5"/>
      <c r="W7" s="5"/>
      <c r="X7" s="5"/>
      <c r="Y7" s="7" t="s">
        <v>31</v>
      </c>
      <c r="Z7" s="7" t="s">
        <v>32</v>
      </c>
    </row>
    <row r="8" spans="1:27" x14ac:dyDescent="0.25">
      <c r="A8" s="9">
        <v>5290</v>
      </c>
      <c r="B8" s="9"/>
      <c r="C8" s="10">
        <v>45692.612314814818</v>
      </c>
      <c r="D8" s="6" t="s">
        <v>26</v>
      </c>
      <c r="E8" s="7" t="s">
        <v>27</v>
      </c>
      <c r="F8" s="7" t="str">
        <f t="shared" si="0"/>
        <v>AGRICOLA Y FORESTAL NAGUILAN S.A.</v>
      </c>
      <c r="G8" s="9" t="s">
        <v>28</v>
      </c>
      <c r="H8" s="7" t="s">
        <v>29</v>
      </c>
      <c r="I8" s="9"/>
      <c r="J8" s="9"/>
      <c r="K8" s="9"/>
      <c r="L8" s="9"/>
      <c r="M8" s="9"/>
      <c r="N8" s="8" t="s">
        <v>30</v>
      </c>
      <c r="O8" s="9"/>
      <c r="P8" s="9">
        <v>40.033999999999999</v>
      </c>
      <c r="Q8" s="9"/>
      <c r="R8" s="10"/>
      <c r="S8" s="9"/>
      <c r="T8" s="10"/>
      <c r="U8" s="7" t="s">
        <v>29</v>
      </c>
      <c r="V8" s="5"/>
      <c r="W8" s="5"/>
      <c r="X8" s="5"/>
      <c r="Y8" s="7" t="s">
        <v>31</v>
      </c>
      <c r="Z8" s="7" t="s">
        <v>32</v>
      </c>
    </row>
    <row r="9" spans="1:27" x14ac:dyDescent="0.25">
      <c r="A9" s="9">
        <v>5291</v>
      </c>
      <c r="B9" s="9"/>
      <c r="C9" s="10">
        <v>45693.316412037035</v>
      </c>
      <c r="D9" s="6" t="s">
        <v>26</v>
      </c>
      <c r="E9" s="7" t="s">
        <v>27</v>
      </c>
      <c r="F9" s="7" t="str">
        <f t="shared" si="0"/>
        <v>AGRICOLA Y FORESTAL NAGUILAN S.A.</v>
      </c>
      <c r="G9" s="9" t="s">
        <v>28</v>
      </c>
      <c r="H9" s="7" t="s">
        <v>29</v>
      </c>
      <c r="I9" s="9"/>
      <c r="J9" s="9"/>
      <c r="K9" s="9"/>
      <c r="L9" s="9"/>
      <c r="M9" s="9"/>
      <c r="N9" s="8" t="s">
        <v>30</v>
      </c>
      <c r="O9" s="9"/>
      <c r="P9" s="9">
        <v>41.222000000000001</v>
      </c>
      <c r="Q9" s="9"/>
      <c r="R9" s="10"/>
      <c r="S9" s="9"/>
      <c r="T9" s="10"/>
      <c r="U9" s="7" t="s">
        <v>29</v>
      </c>
      <c r="V9" s="5"/>
      <c r="W9" s="5"/>
      <c r="X9" s="5"/>
      <c r="Y9" s="7" t="s">
        <v>31</v>
      </c>
      <c r="Z9" s="7" t="s">
        <v>32</v>
      </c>
    </row>
    <row r="10" spans="1:27" x14ac:dyDescent="0.25">
      <c r="A10" s="9">
        <v>5292</v>
      </c>
      <c r="B10" s="9"/>
      <c r="C10" s="10">
        <v>45693.454687500001</v>
      </c>
      <c r="D10" s="6" t="s">
        <v>26</v>
      </c>
      <c r="E10" s="7" t="s">
        <v>27</v>
      </c>
      <c r="F10" s="7" t="str">
        <f t="shared" si="0"/>
        <v>AGRICOLA Y FORESTAL NAGUILAN S.A.</v>
      </c>
      <c r="G10" s="9" t="s">
        <v>28</v>
      </c>
      <c r="H10" s="7" t="s">
        <v>29</v>
      </c>
      <c r="I10" s="9"/>
      <c r="J10" s="9"/>
      <c r="K10" s="9"/>
      <c r="L10" s="9"/>
      <c r="M10" s="9"/>
      <c r="N10" s="8" t="s">
        <v>30</v>
      </c>
      <c r="O10" s="9"/>
      <c r="P10" s="9">
        <v>39.276000000000003</v>
      </c>
      <c r="Q10" s="9"/>
      <c r="R10" s="10"/>
      <c r="S10" s="9"/>
      <c r="T10" s="10"/>
      <c r="U10" s="7" t="s">
        <v>29</v>
      </c>
      <c r="V10" s="5"/>
      <c r="W10" s="5"/>
      <c r="X10" s="5"/>
      <c r="Y10" s="7" t="s">
        <v>31</v>
      </c>
      <c r="Z10" s="7" t="s">
        <v>32</v>
      </c>
    </row>
    <row r="11" spans="1:27" x14ac:dyDescent="0.25">
      <c r="A11" s="9">
        <v>5293</v>
      </c>
      <c r="B11" s="9"/>
      <c r="C11" s="10">
        <v>45693.543437499997</v>
      </c>
      <c r="D11" s="6" t="s">
        <v>26</v>
      </c>
      <c r="E11" s="7" t="s">
        <v>27</v>
      </c>
      <c r="F11" s="7" t="str">
        <f t="shared" si="0"/>
        <v>AGRICOLA Y FORESTAL NAGUILAN S.A.</v>
      </c>
      <c r="G11" s="9" t="s">
        <v>28</v>
      </c>
      <c r="H11" s="7" t="s">
        <v>29</v>
      </c>
      <c r="I11" s="9"/>
      <c r="J11" s="9"/>
      <c r="K11" s="9"/>
      <c r="L11" s="9"/>
      <c r="M11" s="9"/>
      <c r="N11" s="8" t="s">
        <v>30</v>
      </c>
      <c r="O11" s="9"/>
      <c r="P11" s="9">
        <v>41.072000000000003</v>
      </c>
      <c r="Q11" s="9"/>
      <c r="R11" s="10"/>
      <c r="S11" s="9"/>
      <c r="T11" s="10"/>
      <c r="U11" s="7" t="s">
        <v>29</v>
      </c>
      <c r="V11" s="5"/>
      <c r="W11" s="5"/>
      <c r="X11" s="5"/>
      <c r="Y11" s="7" t="s">
        <v>31</v>
      </c>
      <c r="Z11" s="7" t="s">
        <v>32</v>
      </c>
    </row>
    <row r="12" spans="1:27" x14ac:dyDescent="0.25">
      <c r="A12" s="9">
        <v>5294</v>
      </c>
      <c r="B12" s="9"/>
      <c r="C12" s="10">
        <v>45693.644155092596</v>
      </c>
      <c r="D12" s="6" t="s">
        <v>26</v>
      </c>
      <c r="E12" s="7" t="s">
        <v>27</v>
      </c>
      <c r="F12" s="7" t="str">
        <f t="shared" si="0"/>
        <v>AGRICOLA Y FORESTAL NAGUILAN S.A.</v>
      </c>
      <c r="G12" s="9" t="s">
        <v>28</v>
      </c>
      <c r="H12" s="7" t="s">
        <v>29</v>
      </c>
      <c r="I12" s="9"/>
      <c r="J12" s="9"/>
      <c r="K12" s="9"/>
      <c r="L12" s="9"/>
      <c r="M12" s="9"/>
      <c r="N12" s="8" t="s">
        <v>30</v>
      </c>
      <c r="O12" s="9"/>
      <c r="P12" s="9">
        <v>40.466999999999999</v>
      </c>
      <c r="Q12" s="9"/>
      <c r="R12" s="10"/>
      <c r="S12" s="9"/>
      <c r="T12" s="10"/>
      <c r="U12" s="7" t="s">
        <v>29</v>
      </c>
      <c r="V12" s="5"/>
      <c r="W12" s="5"/>
      <c r="X12" s="5"/>
      <c r="Y12" s="7" t="s">
        <v>31</v>
      </c>
      <c r="Z12" s="7" t="s">
        <v>32</v>
      </c>
    </row>
    <row r="13" spans="1:27" x14ac:dyDescent="0.25">
      <c r="A13" s="9">
        <v>5295</v>
      </c>
      <c r="B13" s="9"/>
      <c r="C13" s="10">
        <v>45694.312916666669</v>
      </c>
      <c r="D13" s="6" t="s">
        <v>26</v>
      </c>
      <c r="E13" s="7" t="s">
        <v>27</v>
      </c>
      <c r="F13" s="7" t="str">
        <f t="shared" si="0"/>
        <v>AGRICOLA Y FORESTAL NAGUILAN S.A.</v>
      </c>
      <c r="G13" s="9" t="s">
        <v>28</v>
      </c>
      <c r="H13" s="7" t="s">
        <v>29</v>
      </c>
      <c r="I13" s="9"/>
      <c r="J13" s="9"/>
      <c r="K13" s="9"/>
      <c r="L13" s="9"/>
      <c r="M13" s="9"/>
      <c r="N13" s="8" t="s">
        <v>30</v>
      </c>
      <c r="O13" s="9"/>
      <c r="P13" s="9">
        <v>39.063000000000002</v>
      </c>
      <c r="Q13" s="9"/>
      <c r="R13" s="10"/>
      <c r="S13" s="9"/>
      <c r="T13" s="10"/>
      <c r="U13" s="7" t="s">
        <v>29</v>
      </c>
      <c r="V13" s="5"/>
      <c r="W13" s="5"/>
      <c r="X13" s="5"/>
      <c r="Y13" s="7" t="s">
        <v>31</v>
      </c>
      <c r="Z13" s="7" t="s">
        <v>32</v>
      </c>
    </row>
    <row r="14" spans="1:27" x14ac:dyDescent="0.25">
      <c r="A14" s="9">
        <v>5296</v>
      </c>
      <c r="B14" s="9"/>
      <c r="C14" s="10">
        <v>45694.401006944441</v>
      </c>
      <c r="D14" s="6" t="s">
        <v>26</v>
      </c>
      <c r="E14" s="7" t="s">
        <v>27</v>
      </c>
      <c r="F14" s="7" t="str">
        <f t="shared" si="0"/>
        <v>AGRICOLA Y FORESTAL NAGUILAN S.A.</v>
      </c>
      <c r="G14" s="9" t="s">
        <v>28</v>
      </c>
      <c r="H14" s="7" t="s">
        <v>29</v>
      </c>
      <c r="I14" s="9"/>
      <c r="J14" s="9"/>
      <c r="K14" s="9"/>
      <c r="L14" s="9"/>
      <c r="M14" s="9"/>
      <c r="N14" s="8" t="s">
        <v>30</v>
      </c>
      <c r="O14" s="9"/>
      <c r="P14" s="9">
        <v>40.040999999999997</v>
      </c>
      <c r="Q14" s="9"/>
      <c r="R14" s="10"/>
      <c r="S14" s="9"/>
      <c r="T14" s="10"/>
      <c r="U14" s="7" t="s">
        <v>29</v>
      </c>
      <c r="V14" s="5"/>
      <c r="W14" s="5"/>
      <c r="X14" s="5"/>
      <c r="Y14" s="7" t="s">
        <v>31</v>
      </c>
      <c r="Z14" s="7" t="s">
        <v>32</v>
      </c>
    </row>
    <row r="15" spans="1:27" x14ac:dyDescent="0.25">
      <c r="A15" s="9">
        <v>5297</v>
      </c>
      <c r="B15" s="9"/>
      <c r="C15" s="10">
        <v>45694.503136574072</v>
      </c>
      <c r="D15" s="6" t="s">
        <v>26</v>
      </c>
      <c r="E15" s="7" t="s">
        <v>27</v>
      </c>
      <c r="F15" s="7" t="str">
        <f t="shared" si="0"/>
        <v>AGRICOLA Y FORESTAL NAGUILAN S.A.</v>
      </c>
      <c r="G15" s="9" t="s">
        <v>28</v>
      </c>
      <c r="H15" s="7" t="s">
        <v>29</v>
      </c>
      <c r="I15" s="9"/>
      <c r="J15" s="9"/>
      <c r="K15" s="9"/>
      <c r="L15" s="9"/>
      <c r="M15" s="9"/>
      <c r="N15" s="8" t="s">
        <v>30</v>
      </c>
      <c r="O15" s="9"/>
      <c r="P15" s="9">
        <v>40.078000000000003</v>
      </c>
      <c r="Q15" s="9"/>
      <c r="R15" s="10"/>
      <c r="S15" s="9"/>
      <c r="T15" s="10"/>
      <c r="U15" s="7" t="s">
        <v>29</v>
      </c>
      <c r="V15" s="5"/>
      <c r="W15" s="5"/>
      <c r="X15" s="5"/>
      <c r="Y15" s="7" t="s">
        <v>31</v>
      </c>
      <c r="Z15" s="7" t="s">
        <v>32</v>
      </c>
    </row>
    <row r="16" spans="1:27" x14ac:dyDescent="0.25">
      <c r="A16" s="9">
        <v>5298</v>
      </c>
      <c r="B16" s="9"/>
      <c r="C16" s="10">
        <v>45695.308009259257</v>
      </c>
      <c r="D16" s="6" t="s">
        <v>26</v>
      </c>
      <c r="E16" s="7" t="s">
        <v>27</v>
      </c>
      <c r="F16" s="7" t="str">
        <f t="shared" si="0"/>
        <v>AGRICOLA Y FORESTAL NAGUILAN S.A.</v>
      </c>
      <c r="G16" s="9" t="s">
        <v>28</v>
      </c>
      <c r="H16" s="7" t="s">
        <v>29</v>
      </c>
      <c r="I16" s="9"/>
      <c r="J16" s="9"/>
      <c r="K16" s="9"/>
      <c r="L16" s="9"/>
      <c r="M16" s="9"/>
      <c r="N16" s="8" t="s">
        <v>30</v>
      </c>
      <c r="O16" s="9"/>
      <c r="P16" s="9">
        <v>41.171999999999997</v>
      </c>
      <c r="Q16" s="9"/>
      <c r="R16" s="10"/>
      <c r="S16" s="9"/>
      <c r="T16" s="10"/>
      <c r="U16" s="7" t="s">
        <v>29</v>
      </c>
      <c r="V16" s="5"/>
      <c r="W16" s="5"/>
      <c r="X16" s="5"/>
      <c r="Y16" s="7" t="s">
        <v>31</v>
      </c>
      <c r="Z16" s="7" t="s">
        <v>32</v>
      </c>
    </row>
    <row r="17" spans="1:26" x14ac:dyDescent="0.25">
      <c r="A17" s="9">
        <v>5299</v>
      </c>
      <c r="B17" s="9"/>
      <c r="C17" s="10">
        <v>45695.392604166664</v>
      </c>
      <c r="D17" s="6" t="s">
        <v>26</v>
      </c>
      <c r="E17" s="7" t="s">
        <v>27</v>
      </c>
      <c r="F17" s="7" t="str">
        <f t="shared" si="0"/>
        <v>AGRICOLA Y FORESTAL NAGUILAN S.A.</v>
      </c>
      <c r="G17" s="9" t="s">
        <v>28</v>
      </c>
      <c r="H17" s="7" t="s">
        <v>29</v>
      </c>
      <c r="I17" s="9"/>
      <c r="J17" s="9"/>
      <c r="K17" s="9"/>
      <c r="L17" s="9"/>
      <c r="M17" s="9"/>
      <c r="N17" s="8" t="s">
        <v>30</v>
      </c>
      <c r="O17" s="9"/>
      <c r="P17" s="9">
        <v>40.375</v>
      </c>
      <c r="Q17" s="9"/>
      <c r="R17" s="10"/>
      <c r="S17" s="9"/>
      <c r="T17" s="10"/>
      <c r="U17" s="7" t="s">
        <v>29</v>
      </c>
      <c r="V17" s="5"/>
      <c r="W17" s="5"/>
      <c r="X17" s="5"/>
      <c r="Y17" s="7" t="s">
        <v>31</v>
      </c>
      <c r="Z17" s="7" t="s">
        <v>32</v>
      </c>
    </row>
    <row r="18" spans="1:26" x14ac:dyDescent="0.25">
      <c r="A18" s="9">
        <v>5300</v>
      </c>
      <c r="B18" s="9"/>
      <c r="C18" s="10">
        <v>45695.481168981481</v>
      </c>
      <c r="D18" s="6" t="s">
        <v>26</v>
      </c>
      <c r="E18" s="7" t="s">
        <v>27</v>
      </c>
      <c r="F18" s="7" t="str">
        <f t="shared" si="0"/>
        <v>AGRICOLA Y FORESTAL NAGUILAN S.A.</v>
      </c>
      <c r="G18" s="9" t="s">
        <v>28</v>
      </c>
      <c r="H18" s="7" t="s">
        <v>29</v>
      </c>
      <c r="I18" s="9"/>
      <c r="J18" s="9"/>
      <c r="K18" s="9"/>
      <c r="L18" s="9"/>
      <c r="M18" s="9"/>
      <c r="N18" s="8" t="s">
        <v>30</v>
      </c>
      <c r="O18" s="9"/>
      <c r="P18" s="9">
        <v>40.106000000000002</v>
      </c>
      <c r="Q18" s="9"/>
      <c r="R18" s="10"/>
      <c r="S18" s="9"/>
      <c r="T18" s="10"/>
      <c r="U18" s="7" t="s">
        <v>29</v>
      </c>
      <c r="V18" s="5"/>
      <c r="W18" s="5"/>
      <c r="X18" s="5"/>
      <c r="Y18" s="7" t="s">
        <v>31</v>
      </c>
      <c r="Z18" s="7" t="s">
        <v>32</v>
      </c>
    </row>
    <row r="19" spans="1:26" x14ac:dyDescent="0.25">
      <c r="A19" s="9">
        <v>5301</v>
      </c>
      <c r="B19" s="9"/>
      <c r="C19" s="10">
        <v>45695.562569444446</v>
      </c>
      <c r="D19" s="6" t="s">
        <v>26</v>
      </c>
      <c r="E19" s="7" t="s">
        <v>27</v>
      </c>
      <c r="F19" s="7" t="str">
        <f t="shared" si="0"/>
        <v>AGRICOLA Y FORESTAL NAGUILAN S.A.</v>
      </c>
      <c r="G19" s="9" t="s">
        <v>28</v>
      </c>
      <c r="H19" s="7" t="s">
        <v>29</v>
      </c>
      <c r="I19" s="9"/>
      <c r="J19" s="9"/>
      <c r="K19" s="9"/>
      <c r="L19" s="9"/>
      <c r="M19" s="9"/>
      <c r="N19" s="8" t="s">
        <v>30</v>
      </c>
      <c r="O19" s="9"/>
      <c r="P19" s="9">
        <v>39.845999999999997</v>
      </c>
      <c r="Q19" s="9"/>
      <c r="R19" s="10"/>
      <c r="S19" s="9"/>
      <c r="T19" s="10"/>
      <c r="U19" s="7" t="s">
        <v>29</v>
      </c>
      <c r="V19" s="5"/>
      <c r="W19" s="5"/>
      <c r="X19" s="5"/>
      <c r="Y19" s="7" t="s">
        <v>31</v>
      </c>
      <c r="Z19" s="7" t="s">
        <v>32</v>
      </c>
    </row>
    <row r="20" spans="1:26" x14ac:dyDescent="0.25">
      <c r="A20" s="9">
        <v>5302</v>
      </c>
      <c r="B20" s="9"/>
      <c r="C20" s="10">
        <v>45699.317187499997</v>
      </c>
      <c r="D20" s="6" t="s">
        <v>26</v>
      </c>
      <c r="E20" s="7" t="s">
        <v>27</v>
      </c>
      <c r="F20" s="7" t="str">
        <f t="shared" si="0"/>
        <v>AGRICOLA Y FORESTAL NAGUILAN S.A.</v>
      </c>
      <c r="G20" s="9" t="s">
        <v>28</v>
      </c>
      <c r="H20" s="7" t="s">
        <v>29</v>
      </c>
      <c r="I20" s="9"/>
      <c r="J20" s="9"/>
      <c r="K20" s="9"/>
      <c r="L20" s="9"/>
      <c r="M20" s="9"/>
      <c r="N20" s="8" t="s">
        <v>30</v>
      </c>
      <c r="O20" s="9"/>
      <c r="P20" s="9">
        <v>39.515000000000001</v>
      </c>
      <c r="Q20" s="9"/>
      <c r="R20" s="10"/>
      <c r="S20" s="9"/>
      <c r="T20" s="10"/>
      <c r="U20" s="7" t="s">
        <v>29</v>
      </c>
      <c r="V20" s="5"/>
      <c r="W20" s="5"/>
      <c r="X20" s="5"/>
      <c r="Y20" s="7" t="s">
        <v>31</v>
      </c>
      <c r="Z20" s="7" t="s">
        <v>32</v>
      </c>
    </row>
    <row r="21" spans="1:26" x14ac:dyDescent="0.25">
      <c r="A21" s="9">
        <v>5303</v>
      </c>
      <c r="B21" s="9"/>
      <c r="C21" s="10">
        <v>45699.410046296296</v>
      </c>
      <c r="D21" s="6" t="s">
        <v>26</v>
      </c>
      <c r="E21" s="7" t="s">
        <v>27</v>
      </c>
      <c r="F21" s="7" t="str">
        <f t="shared" si="0"/>
        <v>AGRICOLA Y FORESTAL NAGUILAN S.A.</v>
      </c>
      <c r="G21" s="9" t="s">
        <v>28</v>
      </c>
      <c r="H21" s="7" t="s">
        <v>29</v>
      </c>
      <c r="I21" s="9"/>
      <c r="J21" s="9"/>
      <c r="K21" s="9"/>
      <c r="L21" s="9"/>
      <c r="M21" s="9"/>
      <c r="N21" s="8" t="s">
        <v>30</v>
      </c>
      <c r="O21" s="9"/>
      <c r="P21" s="9">
        <v>40.100999999999999</v>
      </c>
      <c r="Q21" s="9"/>
      <c r="R21" s="10"/>
      <c r="S21" s="9"/>
      <c r="T21" s="10"/>
      <c r="U21" s="7" t="s">
        <v>29</v>
      </c>
      <c r="V21" s="5"/>
      <c r="W21" s="5"/>
      <c r="X21" s="5"/>
      <c r="Y21" s="7" t="s">
        <v>31</v>
      </c>
      <c r="Z21" s="7" t="s">
        <v>32</v>
      </c>
    </row>
    <row r="22" spans="1:26" x14ac:dyDescent="0.25">
      <c r="A22" s="9">
        <v>5304</v>
      </c>
      <c r="B22" s="9"/>
      <c r="C22" s="10">
        <v>45699.500578703701</v>
      </c>
      <c r="D22" s="6" t="s">
        <v>26</v>
      </c>
      <c r="E22" s="7" t="s">
        <v>27</v>
      </c>
      <c r="F22" s="7" t="str">
        <f t="shared" si="0"/>
        <v>AGRICOLA Y FORESTAL NAGUILAN S.A.</v>
      </c>
      <c r="G22" s="9" t="s">
        <v>28</v>
      </c>
      <c r="H22" s="7" t="s">
        <v>29</v>
      </c>
      <c r="I22" s="9"/>
      <c r="J22" s="9"/>
      <c r="K22" s="9"/>
      <c r="L22" s="9"/>
      <c r="M22" s="9"/>
      <c r="N22" s="8" t="s">
        <v>30</v>
      </c>
      <c r="O22" s="9"/>
      <c r="P22" s="9">
        <v>40.561</v>
      </c>
      <c r="Q22" s="9"/>
      <c r="R22" s="10"/>
      <c r="S22" s="9"/>
      <c r="T22" s="10"/>
      <c r="U22" s="7" t="s">
        <v>29</v>
      </c>
      <c r="V22" s="5"/>
      <c r="W22" s="5"/>
      <c r="X22" s="5"/>
      <c r="Y22" s="7" t="s">
        <v>31</v>
      </c>
      <c r="Z22" s="7" t="s">
        <v>32</v>
      </c>
    </row>
    <row r="23" spans="1:26" x14ac:dyDescent="0.25">
      <c r="A23" s="9">
        <v>5305</v>
      </c>
      <c r="B23" s="9"/>
      <c r="C23" s="10">
        <v>45699.602500000001</v>
      </c>
      <c r="D23" s="6" t="s">
        <v>26</v>
      </c>
      <c r="E23" s="7" t="s">
        <v>27</v>
      </c>
      <c r="F23" s="7" t="str">
        <f t="shared" si="0"/>
        <v>AGRICOLA Y FORESTAL NAGUILAN S.A.</v>
      </c>
      <c r="G23" s="9" t="s">
        <v>28</v>
      </c>
      <c r="H23" s="7" t="s">
        <v>29</v>
      </c>
      <c r="I23" s="9"/>
      <c r="J23" s="9"/>
      <c r="K23" s="9"/>
      <c r="L23" s="9"/>
      <c r="M23" s="9"/>
      <c r="N23" s="8" t="s">
        <v>30</v>
      </c>
      <c r="O23" s="9"/>
      <c r="P23" s="9">
        <v>40.667999999999999</v>
      </c>
      <c r="Q23" s="9"/>
      <c r="R23" s="10"/>
      <c r="S23" s="9"/>
      <c r="T23" s="10"/>
      <c r="U23" s="7" t="s">
        <v>29</v>
      </c>
      <c r="V23" s="5"/>
      <c r="W23" s="5"/>
      <c r="X23" s="5"/>
      <c r="Y23" s="7" t="s">
        <v>31</v>
      </c>
      <c r="Z23" s="7" t="s">
        <v>32</v>
      </c>
    </row>
    <row r="24" spans="1:26" x14ac:dyDescent="0.25">
      <c r="A24" s="9">
        <v>5306</v>
      </c>
      <c r="B24" s="9"/>
      <c r="C24" s="10">
        <v>45700.318472222221</v>
      </c>
      <c r="D24" s="6" t="s">
        <v>26</v>
      </c>
      <c r="E24" s="7" t="s">
        <v>27</v>
      </c>
      <c r="F24" s="7" t="str">
        <f t="shared" si="0"/>
        <v>AGRICOLA Y FORESTAL NAGUILAN S.A.</v>
      </c>
      <c r="G24" s="9" t="s">
        <v>28</v>
      </c>
      <c r="H24" s="7" t="s">
        <v>29</v>
      </c>
      <c r="I24" s="9"/>
      <c r="J24" s="9"/>
      <c r="K24" s="9"/>
      <c r="L24" s="9"/>
      <c r="M24" s="9"/>
      <c r="N24" s="8" t="s">
        <v>30</v>
      </c>
      <c r="O24" s="9"/>
      <c r="P24" s="9">
        <v>39.402999999999999</v>
      </c>
      <c r="Q24" s="9"/>
      <c r="R24" s="10"/>
      <c r="S24" s="9"/>
      <c r="T24" s="10"/>
      <c r="U24" s="7" t="s">
        <v>29</v>
      </c>
      <c r="V24" s="5"/>
      <c r="W24" s="5"/>
      <c r="X24" s="5"/>
      <c r="Y24" s="7" t="s">
        <v>31</v>
      </c>
      <c r="Z24" s="7" t="s">
        <v>32</v>
      </c>
    </row>
    <row r="25" spans="1:26" x14ac:dyDescent="0.25">
      <c r="A25" s="9">
        <v>5307</v>
      </c>
      <c r="B25" s="9"/>
      <c r="C25" s="10">
        <v>45700.403912037036</v>
      </c>
      <c r="D25" s="6" t="s">
        <v>26</v>
      </c>
      <c r="E25" s="7" t="s">
        <v>27</v>
      </c>
      <c r="F25" s="7" t="str">
        <f t="shared" si="0"/>
        <v>AGRICOLA Y FORESTAL NAGUILAN S.A.</v>
      </c>
      <c r="G25" s="9" t="s">
        <v>28</v>
      </c>
      <c r="H25" s="7" t="s">
        <v>29</v>
      </c>
      <c r="I25" s="9"/>
      <c r="J25" s="9"/>
      <c r="K25" s="9"/>
      <c r="L25" s="9"/>
      <c r="M25" s="9"/>
      <c r="N25" s="8" t="s">
        <v>30</v>
      </c>
      <c r="O25" s="9"/>
      <c r="P25" s="9">
        <v>41.502000000000002</v>
      </c>
      <c r="Q25" s="9"/>
      <c r="R25" s="10"/>
      <c r="S25" s="9"/>
      <c r="T25" s="10"/>
      <c r="U25" s="7" t="s">
        <v>29</v>
      </c>
      <c r="V25" s="5"/>
      <c r="W25" s="5"/>
      <c r="X25" s="5"/>
      <c r="Y25" s="7" t="s">
        <v>31</v>
      </c>
      <c r="Z25" s="7" t="s">
        <v>32</v>
      </c>
    </row>
    <row r="26" spans="1:26" x14ac:dyDescent="0.25">
      <c r="A26" s="9">
        <v>5308</v>
      </c>
      <c r="B26" s="9"/>
      <c r="C26" s="10">
        <v>45700.484270833331</v>
      </c>
      <c r="D26" s="6" t="s">
        <v>26</v>
      </c>
      <c r="E26" s="7" t="s">
        <v>27</v>
      </c>
      <c r="F26" s="7" t="str">
        <f t="shared" si="0"/>
        <v>AGRICOLA Y FORESTAL NAGUILAN S.A.</v>
      </c>
      <c r="G26" s="9" t="s">
        <v>28</v>
      </c>
      <c r="H26" s="7" t="s">
        <v>29</v>
      </c>
      <c r="I26" s="9"/>
      <c r="J26" s="9"/>
      <c r="K26" s="9"/>
      <c r="L26" s="9"/>
      <c r="M26" s="9"/>
      <c r="N26" s="8" t="s">
        <v>30</v>
      </c>
      <c r="O26" s="9"/>
      <c r="P26" s="9">
        <v>40.131</v>
      </c>
      <c r="Q26" s="9"/>
      <c r="R26" s="10"/>
      <c r="S26" s="9"/>
      <c r="T26" s="10"/>
      <c r="U26" s="7" t="s">
        <v>29</v>
      </c>
      <c r="V26" s="5"/>
      <c r="W26" s="5"/>
      <c r="X26" s="5"/>
      <c r="Y26" s="7" t="s">
        <v>31</v>
      </c>
      <c r="Z26" s="7" t="s">
        <v>32</v>
      </c>
    </row>
    <row r="27" spans="1:26" x14ac:dyDescent="0.25">
      <c r="A27" s="9">
        <v>5309</v>
      </c>
      <c r="B27" s="9"/>
      <c r="C27" s="10">
        <v>45700.594780092593</v>
      </c>
      <c r="D27" s="6" t="s">
        <v>26</v>
      </c>
      <c r="E27" s="7" t="s">
        <v>27</v>
      </c>
      <c r="F27" s="7" t="str">
        <f t="shared" si="0"/>
        <v>AGRICOLA Y FORESTAL NAGUILAN S.A.</v>
      </c>
      <c r="G27" s="9" t="s">
        <v>28</v>
      </c>
      <c r="H27" s="7" t="s">
        <v>29</v>
      </c>
      <c r="I27" s="9"/>
      <c r="J27" s="9"/>
      <c r="K27" s="9"/>
      <c r="L27" s="9"/>
      <c r="M27" s="9"/>
      <c r="N27" s="8" t="s">
        <v>30</v>
      </c>
      <c r="O27" s="9"/>
      <c r="P27" s="9">
        <v>40.017000000000003</v>
      </c>
      <c r="Q27" s="9"/>
      <c r="R27" s="10"/>
      <c r="S27" s="9"/>
      <c r="T27" s="10"/>
      <c r="U27" s="7" t="s">
        <v>29</v>
      </c>
      <c r="V27" s="5"/>
      <c r="W27" s="5"/>
      <c r="X27" s="5"/>
      <c r="Y27" s="7" t="s">
        <v>31</v>
      </c>
      <c r="Z27" s="7" t="s">
        <v>32</v>
      </c>
    </row>
    <row r="28" spans="1:26" x14ac:dyDescent="0.25">
      <c r="A28" s="9">
        <v>5310</v>
      </c>
      <c r="B28" s="9"/>
      <c r="C28" s="10">
        <v>45701.315069444441</v>
      </c>
      <c r="D28" s="6" t="s">
        <v>26</v>
      </c>
      <c r="E28" s="7" t="s">
        <v>27</v>
      </c>
      <c r="F28" s="7" t="str">
        <f t="shared" si="0"/>
        <v>AGRICOLA Y FORESTAL NAGUILAN S.A.</v>
      </c>
      <c r="G28" s="9" t="s">
        <v>28</v>
      </c>
      <c r="H28" s="7" t="s">
        <v>29</v>
      </c>
      <c r="I28" s="9"/>
      <c r="J28" s="9"/>
      <c r="K28" s="9"/>
      <c r="L28" s="9"/>
      <c r="M28" s="9"/>
      <c r="N28" s="8" t="s">
        <v>30</v>
      </c>
      <c r="O28" s="9"/>
      <c r="P28" s="9">
        <v>39.655999999999999</v>
      </c>
      <c r="Q28" s="9"/>
      <c r="R28" s="10"/>
      <c r="S28" s="9"/>
      <c r="T28" s="10"/>
      <c r="U28" s="7" t="s">
        <v>29</v>
      </c>
      <c r="V28" s="5"/>
      <c r="W28" s="5"/>
      <c r="X28" s="5"/>
      <c r="Y28" s="7" t="s">
        <v>31</v>
      </c>
      <c r="Z28" s="7" t="s">
        <v>32</v>
      </c>
    </row>
    <row r="29" spans="1:26" x14ac:dyDescent="0.25">
      <c r="A29" s="9">
        <v>5311</v>
      </c>
      <c r="B29" s="9"/>
      <c r="C29" s="10">
        <v>45702.310150462959</v>
      </c>
      <c r="D29" s="6" t="s">
        <v>26</v>
      </c>
      <c r="E29" s="7" t="s">
        <v>27</v>
      </c>
      <c r="F29" s="7" t="str">
        <f t="shared" si="0"/>
        <v>AGRICOLA Y FORESTAL NAGUILAN S.A.</v>
      </c>
      <c r="G29" s="9" t="s">
        <v>28</v>
      </c>
      <c r="H29" s="7" t="s">
        <v>29</v>
      </c>
      <c r="I29" s="9"/>
      <c r="J29" s="9"/>
      <c r="K29" s="9"/>
      <c r="L29" s="9"/>
      <c r="M29" s="9"/>
      <c r="N29" s="8" t="s">
        <v>30</v>
      </c>
      <c r="O29" s="9"/>
      <c r="P29" s="9">
        <v>40.737000000000002</v>
      </c>
      <c r="Q29" s="9"/>
      <c r="R29" s="10"/>
      <c r="S29" s="9"/>
      <c r="T29" s="10"/>
      <c r="U29" s="7" t="s">
        <v>29</v>
      </c>
      <c r="V29" s="5"/>
      <c r="W29" s="5"/>
      <c r="X29" s="5"/>
      <c r="Y29" s="7" t="s">
        <v>31</v>
      </c>
      <c r="Z29" s="7" t="s">
        <v>32</v>
      </c>
    </row>
    <row r="30" spans="1:26" x14ac:dyDescent="0.25">
      <c r="A30" s="9">
        <v>5312</v>
      </c>
      <c r="B30" s="9"/>
      <c r="C30" s="10">
        <v>45702.406527777777</v>
      </c>
      <c r="D30" s="6" t="s">
        <v>26</v>
      </c>
      <c r="E30" s="7" t="s">
        <v>27</v>
      </c>
      <c r="F30" s="7" t="str">
        <f t="shared" si="0"/>
        <v>AGRICOLA Y FORESTAL NAGUILAN S.A.</v>
      </c>
      <c r="G30" s="9" t="s">
        <v>28</v>
      </c>
      <c r="H30" s="7" t="s">
        <v>29</v>
      </c>
      <c r="I30" s="9"/>
      <c r="J30" s="9"/>
      <c r="K30" s="9"/>
      <c r="L30" s="9"/>
      <c r="M30" s="9"/>
      <c r="N30" s="8" t="s">
        <v>30</v>
      </c>
      <c r="O30" s="9"/>
      <c r="P30" s="9">
        <v>39.811999999999998</v>
      </c>
      <c r="Q30" s="9"/>
      <c r="R30" s="10"/>
      <c r="S30" s="9"/>
      <c r="T30" s="10"/>
      <c r="U30" s="7" t="s">
        <v>29</v>
      </c>
      <c r="V30" s="5"/>
      <c r="W30" s="5"/>
      <c r="X30" s="5"/>
      <c r="Y30" s="7" t="s">
        <v>31</v>
      </c>
      <c r="Z30" s="7" t="s">
        <v>32</v>
      </c>
    </row>
    <row r="31" spans="1:26" x14ac:dyDescent="0.25">
      <c r="A31" s="9">
        <v>5315</v>
      </c>
      <c r="B31" s="9"/>
      <c r="C31" s="10">
        <v>45705.315300925926</v>
      </c>
      <c r="D31" s="6" t="s">
        <v>26</v>
      </c>
      <c r="E31" s="7" t="s">
        <v>27</v>
      </c>
      <c r="F31" s="7" t="str">
        <f t="shared" si="0"/>
        <v>AGRICOLA Y FORESTAL NAGUILAN S.A.</v>
      </c>
      <c r="G31" s="9" t="s">
        <v>28</v>
      </c>
      <c r="H31" s="7" t="s">
        <v>29</v>
      </c>
      <c r="I31" s="9"/>
      <c r="J31" s="9"/>
      <c r="K31" s="9"/>
      <c r="L31" s="9"/>
      <c r="M31" s="9"/>
      <c r="N31" s="8" t="s">
        <v>30</v>
      </c>
      <c r="O31" s="9"/>
      <c r="P31" s="9">
        <v>39.783999999999999</v>
      </c>
      <c r="Q31" s="9"/>
      <c r="R31" s="10"/>
      <c r="S31" s="9"/>
      <c r="T31" s="10"/>
      <c r="U31" s="7" t="s">
        <v>29</v>
      </c>
      <c r="V31" s="5"/>
      <c r="W31" s="5"/>
      <c r="X31" s="5"/>
      <c r="Y31" s="7" t="s">
        <v>31</v>
      </c>
      <c r="Z31" s="7" t="s">
        <v>32</v>
      </c>
    </row>
    <row r="32" spans="1:26" x14ac:dyDescent="0.25">
      <c r="A32" s="9">
        <v>5316</v>
      </c>
      <c r="B32" s="9"/>
      <c r="C32" s="10">
        <v>45705.42</v>
      </c>
      <c r="D32" s="6" t="s">
        <v>26</v>
      </c>
      <c r="E32" s="7" t="s">
        <v>27</v>
      </c>
      <c r="F32" s="7" t="str">
        <f t="shared" si="0"/>
        <v>AGRICOLA Y FORESTAL NAGUILAN S.A.</v>
      </c>
      <c r="G32" s="9" t="s">
        <v>28</v>
      </c>
      <c r="H32" s="7" t="s">
        <v>29</v>
      </c>
      <c r="I32" s="9"/>
      <c r="J32" s="9"/>
      <c r="K32" s="9"/>
      <c r="L32" s="9"/>
      <c r="M32" s="9"/>
      <c r="N32" s="8" t="s">
        <v>30</v>
      </c>
      <c r="O32" s="9"/>
      <c r="P32" s="9">
        <v>38.307000000000002</v>
      </c>
      <c r="Q32" s="9"/>
      <c r="R32" s="10"/>
      <c r="S32" s="9"/>
      <c r="T32" s="10"/>
      <c r="U32" s="7" t="s">
        <v>29</v>
      </c>
      <c r="V32" s="5"/>
      <c r="W32" s="5"/>
      <c r="X32" s="5"/>
      <c r="Y32" s="7" t="s">
        <v>31</v>
      </c>
      <c r="Z32" s="7" t="s">
        <v>32</v>
      </c>
    </row>
    <row r="33" spans="1:26" x14ac:dyDescent="0.25">
      <c r="A33" s="9">
        <v>5317</v>
      </c>
      <c r="B33" s="9"/>
      <c r="C33" s="10">
        <v>45705.548136574071</v>
      </c>
      <c r="D33" s="6" t="s">
        <v>26</v>
      </c>
      <c r="E33" s="7" t="s">
        <v>27</v>
      </c>
      <c r="F33" s="7" t="str">
        <f t="shared" si="0"/>
        <v>AGRICOLA Y FORESTAL NAGUILAN S.A.</v>
      </c>
      <c r="G33" s="9" t="s">
        <v>28</v>
      </c>
      <c r="H33" s="7" t="s">
        <v>29</v>
      </c>
      <c r="I33" s="9"/>
      <c r="J33" s="9"/>
      <c r="K33" s="9"/>
      <c r="L33" s="9"/>
      <c r="M33" s="9"/>
      <c r="N33" s="8" t="s">
        <v>30</v>
      </c>
      <c r="O33" s="9"/>
      <c r="P33" s="9">
        <v>40.430999999999997</v>
      </c>
      <c r="Q33" s="9"/>
      <c r="R33" s="10"/>
      <c r="S33" s="9"/>
      <c r="T33" s="10"/>
      <c r="U33" s="7" t="s">
        <v>29</v>
      </c>
      <c r="V33" s="5"/>
      <c r="W33" s="5"/>
      <c r="X33" s="5"/>
      <c r="Y33" s="7" t="s">
        <v>31</v>
      </c>
      <c r="Z33" s="7" t="s">
        <v>32</v>
      </c>
    </row>
    <row r="34" spans="1:26" x14ac:dyDescent="0.25">
      <c r="A34" s="9">
        <v>5318</v>
      </c>
      <c r="B34" s="9"/>
      <c r="C34" s="10">
        <v>45707.319386574076</v>
      </c>
      <c r="D34" s="6" t="s">
        <v>26</v>
      </c>
      <c r="E34" s="7" t="s">
        <v>27</v>
      </c>
      <c r="F34" s="7" t="str">
        <f t="shared" ref="F34:F65" si="1">+E34</f>
        <v>AGRICOLA Y FORESTAL NAGUILAN S.A.</v>
      </c>
      <c r="G34" s="9" t="s">
        <v>28</v>
      </c>
      <c r="H34" s="7" t="s">
        <v>29</v>
      </c>
      <c r="I34" s="9"/>
      <c r="J34" s="9"/>
      <c r="K34" s="9"/>
      <c r="L34" s="9"/>
      <c r="M34" s="9"/>
      <c r="N34" s="8" t="s">
        <v>30</v>
      </c>
      <c r="O34" s="9"/>
      <c r="P34" s="9">
        <v>40.392000000000003</v>
      </c>
      <c r="Q34" s="9"/>
      <c r="R34" s="10"/>
      <c r="S34" s="9"/>
      <c r="T34" s="10"/>
      <c r="U34" s="7" t="s">
        <v>29</v>
      </c>
      <c r="V34" s="5"/>
      <c r="W34" s="5"/>
      <c r="X34" s="5"/>
      <c r="Y34" s="7" t="s">
        <v>31</v>
      </c>
      <c r="Z34" s="7" t="s">
        <v>32</v>
      </c>
    </row>
    <row r="35" spans="1:26" x14ac:dyDescent="0.25">
      <c r="A35" s="9">
        <v>5319</v>
      </c>
      <c r="B35" s="9"/>
      <c r="C35" s="10">
        <v>45707.406967592593</v>
      </c>
      <c r="D35" s="6" t="s">
        <v>26</v>
      </c>
      <c r="E35" s="7" t="s">
        <v>27</v>
      </c>
      <c r="F35" s="7" t="str">
        <f t="shared" si="1"/>
        <v>AGRICOLA Y FORESTAL NAGUILAN S.A.</v>
      </c>
      <c r="G35" s="9" t="s">
        <v>28</v>
      </c>
      <c r="H35" s="7" t="s">
        <v>29</v>
      </c>
      <c r="I35" s="9"/>
      <c r="J35" s="9"/>
      <c r="K35" s="9"/>
      <c r="L35" s="9"/>
      <c r="M35" s="9"/>
      <c r="N35" s="8" t="s">
        <v>30</v>
      </c>
      <c r="O35" s="9"/>
      <c r="P35" s="9">
        <v>39.927</v>
      </c>
      <c r="Q35" s="9"/>
      <c r="R35" s="10"/>
      <c r="S35" s="9"/>
      <c r="T35" s="10"/>
      <c r="U35" s="7" t="s">
        <v>29</v>
      </c>
      <c r="V35" s="5"/>
      <c r="W35" s="5"/>
      <c r="X35" s="5"/>
      <c r="Y35" s="7" t="s">
        <v>31</v>
      </c>
      <c r="Z35" s="7" t="s">
        <v>32</v>
      </c>
    </row>
    <row r="36" spans="1:26" x14ac:dyDescent="0.25">
      <c r="A36" s="9">
        <v>5320</v>
      </c>
      <c r="B36" s="9"/>
      <c r="C36" s="10">
        <v>45707.494328703702</v>
      </c>
      <c r="D36" s="6" t="s">
        <v>26</v>
      </c>
      <c r="E36" s="7" t="s">
        <v>27</v>
      </c>
      <c r="F36" s="7" t="str">
        <f t="shared" si="1"/>
        <v>AGRICOLA Y FORESTAL NAGUILAN S.A.</v>
      </c>
      <c r="G36" s="9" t="s">
        <v>28</v>
      </c>
      <c r="H36" s="7" t="s">
        <v>29</v>
      </c>
      <c r="I36" s="9"/>
      <c r="J36" s="9"/>
      <c r="K36" s="9"/>
      <c r="L36" s="9"/>
      <c r="M36" s="9"/>
      <c r="N36" s="8" t="s">
        <v>30</v>
      </c>
      <c r="O36" s="9"/>
      <c r="P36" s="9">
        <v>41.000999999999998</v>
      </c>
      <c r="Q36" s="9"/>
      <c r="R36" s="10"/>
      <c r="S36" s="9"/>
      <c r="T36" s="10"/>
      <c r="U36" s="7" t="s">
        <v>29</v>
      </c>
      <c r="V36" s="5"/>
      <c r="W36" s="5"/>
      <c r="X36" s="5"/>
      <c r="Y36" s="7" t="s">
        <v>31</v>
      </c>
      <c r="Z36" s="7" t="s">
        <v>32</v>
      </c>
    </row>
    <row r="37" spans="1:26" x14ac:dyDescent="0.25">
      <c r="A37" s="9">
        <v>5321</v>
      </c>
      <c r="B37" s="9"/>
      <c r="C37" s="10">
        <v>45707.611250000002</v>
      </c>
      <c r="D37" s="6" t="s">
        <v>26</v>
      </c>
      <c r="E37" s="7" t="s">
        <v>27</v>
      </c>
      <c r="F37" s="7" t="str">
        <f t="shared" si="1"/>
        <v>AGRICOLA Y FORESTAL NAGUILAN S.A.</v>
      </c>
      <c r="G37" s="9" t="s">
        <v>28</v>
      </c>
      <c r="H37" s="7" t="s">
        <v>29</v>
      </c>
      <c r="I37" s="9"/>
      <c r="J37" s="9"/>
      <c r="K37" s="9"/>
      <c r="L37" s="9"/>
      <c r="M37" s="9"/>
      <c r="N37" s="8" t="s">
        <v>30</v>
      </c>
      <c r="O37" s="9"/>
      <c r="P37" s="9">
        <v>40.801000000000002</v>
      </c>
      <c r="Q37" s="9"/>
      <c r="R37" s="10"/>
      <c r="S37" s="9"/>
      <c r="T37" s="10"/>
      <c r="U37" s="7" t="s">
        <v>29</v>
      </c>
      <c r="V37" s="5"/>
      <c r="W37" s="5"/>
      <c r="X37" s="5"/>
      <c r="Y37" s="7" t="s">
        <v>31</v>
      </c>
      <c r="Z37" s="7" t="s">
        <v>32</v>
      </c>
    </row>
    <row r="38" spans="1:26" x14ac:dyDescent="0.25">
      <c r="A38" s="9">
        <v>5322</v>
      </c>
      <c r="B38" s="9"/>
      <c r="C38" s="10">
        <v>45708.3203125</v>
      </c>
      <c r="D38" s="6" t="s">
        <v>26</v>
      </c>
      <c r="E38" s="7" t="s">
        <v>27</v>
      </c>
      <c r="F38" s="7" t="str">
        <f t="shared" si="1"/>
        <v>AGRICOLA Y FORESTAL NAGUILAN S.A.</v>
      </c>
      <c r="G38" s="9" t="s">
        <v>28</v>
      </c>
      <c r="H38" s="7" t="s">
        <v>29</v>
      </c>
      <c r="I38" s="9"/>
      <c r="J38" s="9"/>
      <c r="K38" s="9"/>
      <c r="L38" s="9"/>
      <c r="M38" s="9"/>
      <c r="N38" s="8" t="s">
        <v>30</v>
      </c>
      <c r="O38" s="9"/>
      <c r="P38" s="9">
        <v>39.317</v>
      </c>
      <c r="Q38" s="9"/>
      <c r="R38" s="10"/>
      <c r="S38" s="9"/>
      <c r="T38" s="10"/>
      <c r="U38" s="7" t="s">
        <v>29</v>
      </c>
      <c r="V38" s="5"/>
      <c r="W38" s="5"/>
      <c r="X38" s="5"/>
      <c r="Y38" s="7" t="s">
        <v>31</v>
      </c>
      <c r="Z38" s="7" t="s">
        <v>32</v>
      </c>
    </row>
    <row r="39" spans="1:26" x14ac:dyDescent="0.25">
      <c r="A39" s="9">
        <v>5323</v>
      </c>
      <c r="B39" s="9"/>
      <c r="C39" s="10">
        <v>45708.407210648147</v>
      </c>
      <c r="D39" s="6" t="s">
        <v>26</v>
      </c>
      <c r="E39" s="7" t="s">
        <v>27</v>
      </c>
      <c r="F39" s="7" t="str">
        <f t="shared" si="1"/>
        <v>AGRICOLA Y FORESTAL NAGUILAN S.A.</v>
      </c>
      <c r="G39" s="9" t="s">
        <v>28</v>
      </c>
      <c r="H39" s="7" t="s">
        <v>29</v>
      </c>
      <c r="I39" s="9"/>
      <c r="J39" s="9"/>
      <c r="K39" s="9"/>
      <c r="L39" s="9"/>
      <c r="M39" s="9"/>
      <c r="N39" s="8" t="s">
        <v>30</v>
      </c>
      <c r="O39" s="9"/>
      <c r="P39" s="9">
        <v>40.834000000000003</v>
      </c>
      <c r="Q39" s="9"/>
      <c r="R39" s="10"/>
      <c r="S39" s="9"/>
      <c r="T39" s="10"/>
      <c r="U39" s="7" t="s">
        <v>29</v>
      </c>
      <c r="V39" s="5"/>
      <c r="W39" s="5"/>
      <c r="X39" s="5"/>
      <c r="Y39" s="7" t="s">
        <v>31</v>
      </c>
      <c r="Z39" s="7" t="s">
        <v>32</v>
      </c>
    </row>
    <row r="40" spans="1:26" x14ac:dyDescent="0.25">
      <c r="A40" s="9">
        <v>5324</v>
      </c>
      <c r="B40" s="9"/>
      <c r="C40" s="10">
        <v>45708.502650462964</v>
      </c>
      <c r="D40" s="6" t="s">
        <v>26</v>
      </c>
      <c r="E40" s="7" t="s">
        <v>27</v>
      </c>
      <c r="F40" s="7" t="str">
        <f t="shared" si="1"/>
        <v>AGRICOLA Y FORESTAL NAGUILAN S.A.</v>
      </c>
      <c r="G40" s="9" t="s">
        <v>28</v>
      </c>
      <c r="H40" s="7" t="s">
        <v>29</v>
      </c>
      <c r="I40" s="9"/>
      <c r="J40" s="9"/>
      <c r="K40" s="9"/>
      <c r="L40" s="9"/>
      <c r="M40" s="9"/>
      <c r="N40" s="8" t="s">
        <v>30</v>
      </c>
      <c r="O40" s="9"/>
      <c r="P40" s="9">
        <v>40.938000000000002</v>
      </c>
      <c r="Q40" s="9"/>
      <c r="R40" s="10"/>
      <c r="S40" s="9"/>
      <c r="T40" s="10"/>
      <c r="U40" s="7" t="s">
        <v>29</v>
      </c>
      <c r="V40" s="5"/>
      <c r="W40" s="5"/>
      <c r="X40" s="5"/>
      <c r="Y40" s="7" t="s">
        <v>31</v>
      </c>
      <c r="Z40" s="7" t="s">
        <v>32</v>
      </c>
    </row>
    <row r="41" spans="1:26" x14ac:dyDescent="0.25">
      <c r="A41" s="9">
        <v>5325</v>
      </c>
      <c r="B41" s="9"/>
      <c r="C41" s="10">
        <v>45708.589328703703</v>
      </c>
      <c r="D41" s="6" t="s">
        <v>26</v>
      </c>
      <c r="E41" s="7" t="s">
        <v>27</v>
      </c>
      <c r="F41" s="7" t="str">
        <f t="shared" si="1"/>
        <v>AGRICOLA Y FORESTAL NAGUILAN S.A.</v>
      </c>
      <c r="G41" s="9" t="s">
        <v>28</v>
      </c>
      <c r="H41" s="7" t="s">
        <v>29</v>
      </c>
      <c r="I41" s="9"/>
      <c r="J41" s="9"/>
      <c r="K41" s="9"/>
      <c r="L41" s="9"/>
      <c r="M41" s="9"/>
      <c r="N41" s="8" t="s">
        <v>30</v>
      </c>
      <c r="O41" s="9"/>
      <c r="P41" s="9">
        <v>40.848999999999997</v>
      </c>
      <c r="Q41" s="9"/>
      <c r="R41" s="10"/>
      <c r="S41" s="9"/>
      <c r="T41" s="10"/>
      <c r="U41" s="7" t="s">
        <v>29</v>
      </c>
      <c r="V41" s="5"/>
      <c r="W41" s="5"/>
      <c r="X41" s="5"/>
      <c r="Y41" s="7" t="s">
        <v>31</v>
      </c>
      <c r="Z41" s="7" t="s">
        <v>32</v>
      </c>
    </row>
    <row r="42" spans="1:26" x14ac:dyDescent="0.25">
      <c r="A42" s="9">
        <v>5326</v>
      </c>
      <c r="B42" s="9"/>
      <c r="C42" s="10">
        <v>45709.316655092596</v>
      </c>
      <c r="D42" s="6" t="s">
        <v>26</v>
      </c>
      <c r="E42" s="7" t="s">
        <v>27</v>
      </c>
      <c r="F42" s="7" t="str">
        <f t="shared" si="1"/>
        <v>AGRICOLA Y FORESTAL NAGUILAN S.A.</v>
      </c>
      <c r="G42" s="9" t="s">
        <v>28</v>
      </c>
      <c r="H42" s="7" t="s">
        <v>29</v>
      </c>
      <c r="I42" s="9"/>
      <c r="J42" s="9"/>
      <c r="K42" s="9"/>
      <c r="L42" s="9"/>
      <c r="M42" s="9"/>
      <c r="N42" s="8" t="s">
        <v>30</v>
      </c>
      <c r="O42" s="9"/>
      <c r="P42" s="9">
        <v>39.411000000000001</v>
      </c>
      <c r="Q42" s="9"/>
      <c r="R42" s="10"/>
      <c r="S42" s="9"/>
      <c r="T42" s="10"/>
      <c r="U42" s="7" t="s">
        <v>29</v>
      </c>
      <c r="V42" s="5"/>
      <c r="W42" s="5"/>
      <c r="X42" s="5"/>
      <c r="Y42" s="7" t="s">
        <v>31</v>
      </c>
      <c r="Z42" s="7" t="s">
        <v>32</v>
      </c>
    </row>
    <row r="43" spans="1:26" x14ac:dyDescent="0.25">
      <c r="A43" s="9">
        <v>5327</v>
      </c>
      <c r="B43" s="9"/>
      <c r="C43" s="10">
        <v>45709.40934027778</v>
      </c>
      <c r="D43" s="6" t="s">
        <v>26</v>
      </c>
      <c r="E43" s="7" t="s">
        <v>27</v>
      </c>
      <c r="F43" s="7" t="str">
        <f t="shared" si="1"/>
        <v>AGRICOLA Y FORESTAL NAGUILAN S.A.</v>
      </c>
      <c r="G43" s="9" t="s">
        <v>28</v>
      </c>
      <c r="H43" s="7" t="s">
        <v>29</v>
      </c>
      <c r="I43" s="9"/>
      <c r="J43" s="9"/>
      <c r="K43" s="9"/>
      <c r="L43" s="9"/>
      <c r="M43" s="9"/>
      <c r="N43" s="8" t="s">
        <v>30</v>
      </c>
      <c r="O43" s="9"/>
      <c r="P43" s="9">
        <v>40.93</v>
      </c>
      <c r="Q43" s="9"/>
      <c r="R43" s="10"/>
      <c r="S43" s="9"/>
      <c r="T43" s="10"/>
      <c r="U43" s="7" t="s">
        <v>29</v>
      </c>
      <c r="V43" s="5"/>
      <c r="W43" s="5"/>
      <c r="X43" s="5"/>
      <c r="Y43" s="7" t="s">
        <v>31</v>
      </c>
      <c r="Z43" s="7" t="s">
        <v>32</v>
      </c>
    </row>
    <row r="44" spans="1:26" x14ac:dyDescent="0.25">
      <c r="A44" s="9">
        <v>5328</v>
      </c>
      <c r="B44" s="9"/>
      <c r="C44" s="10">
        <v>45709.54755787037</v>
      </c>
      <c r="D44" s="6" t="s">
        <v>26</v>
      </c>
      <c r="E44" s="7" t="s">
        <v>27</v>
      </c>
      <c r="F44" s="7" t="str">
        <f t="shared" si="1"/>
        <v>AGRICOLA Y FORESTAL NAGUILAN S.A.</v>
      </c>
      <c r="G44" s="9" t="s">
        <v>28</v>
      </c>
      <c r="H44" s="7" t="s">
        <v>29</v>
      </c>
      <c r="I44" s="9"/>
      <c r="J44" s="9"/>
      <c r="K44" s="9"/>
      <c r="L44" s="9"/>
      <c r="M44" s="9"/>
      <c r="N44" s="8" t="s">
        <v>30</v>
      </c>
      <c r="O44" s="9"/>
      <c r="P44" s="9">
        <v>40.283000000000001</v>
      </c>
      <c r="Q44" s="9"/>
      <c r="R44" s="10"/>
      <c r="S44" s="9"/>
      <c r="T44" s="10"/>
      <c r="U44" s="7" t="s">
        <v>29</v>
      </c>
      <c r="V44" s="5"/>
      <c r="W44" s="5"/>
      <c r="X44" s="5"/>
      <c r="Y44" s="7" t="s">
        <v>31</v>
      </c>
      <c r="Z44" s="7" t="s">
        <v>32</v>
      </c>
    </row>
    <row r="45" spans="1:26" x14ac:dyDescent="0.25">
      <c r="A45" s="9">
        <v>5329</v>
      </c>
      <c r="B45" s="9"/>
      <c r="C45" s="10">
        <v>45712.325231481482</v>
      </c>
      <c r="D45" s="6" t="s">
        <v>26</v>
      </c>
      <c r="E45" s="7" t="s">
        <v>27</v>
      </c>
      <c r="F45" s="7" t="str">
        <f t="shared" si="1"/>
        <v>AGRICOLA Y FORESTAL NAGUILAN S.A.</v>
      </c>
      <c r="G45" s="9" t="s">
        <v>28</v>
      </c>
      <c r="H45" s="7" t="s">
        <v>29</v>
      </c>
      <c r="I45" s="9"/>
      <c r="J45" s="9"/>
      <c r="K45" s="9"/>
      <c r="L45" s="9"/>
      <c r="M45" s="9"/>
      <c r="N45" s="8" t="s">
        <v>30</v>
      </c>
      <c r="O45" s="9"/>
      <c r="P45" s="9">
        <v>41.051000000000002</v>
      </c>
      <c r="Q45" s="9"/>
      <c r="R45" s="10"/>
      <c r="S45" s="9"/>
      <c r="T45" s="10"/>
      <c r="U45" s="7" t="s">
        <v>29</v>
      </c>
      <c r="V45" s="5"/>
      <c r="W45" s="5"/>
      <c r="X45" s="5"/>
      <c r="Y45" s="7" t="s">
        <v>31</v>
      </c>
      <c r="Z45" s="7" t="s">
        <v>32</v>
      </c>
    </row>
    <row r="46" spans="1:26" x14ac:dyDescent="0.25">
      <c r="A46" s="9">
        <v>5330</v>
      </c>
      <c r="B46" s="9"/>
      <c r="C46" s="10">
        <v>45712.419548611113</v>
      </c>
      <c r="D46" s="6" t="s">
        <v>26</v>
      </c>
      <c r="E46" s="7" t="s">
        <v>27</v>
      </c>
      <c r="F46" s="7" t="str">
        <f t="shared" si="1"/>
        <v>AGRICOLA Y FORESTAL NAGUILAN S.A.</v>
      </c>
      <c r="G46" s="9" t="s">
        <v>28</v>
      </c>
      <c r="H46" s="7" t="s">
        <v>29</v>
      </c>
      <c r="I46" s="9"/>
      <c r="J46" s="9"/>
      <c r="K46" s="9"/>
      <c r="L46" s="9"/>
      <c r="M46" s="9"/>
      <c r="N46" s="8" t="s">
        <v>30</v>
      </c>
      <c r="O46" s="9"/>
      <c r="P46" s="9">
        <v>40.332999999999998</v>
      </c>
      <c r="Q46" s="9"/>
      <c r="R46" s="10"/>
      <c r="S46" s="9"/>
      <c r="T46" s="10"/>
      <c r="U46" s="7" t="s">
        <v>29</v>
      </c>
      <c r="V46" s="5"/>
      <c r="W46" s="5"/>
      <c r="X46" s="5"/>
      <c r="Y46" s="7" t="s">
        <v>31</v>
      </c>
      <c r="Z46" s="7" t="s">
        <v>32</v>
      </c>
    </row>
    <row r="47" spans="1:26" x14ac:dyDescent="0.25">
      <c r="A47" s="9">
        <v>5331</v>
      </c>
      <c r="B47" s="9"/>
      <c r="C47" s="10">
        <v>45712.607546296298</v>
      </c>
      <c r="D47" s="6" t="s">
        <v>26</v>
      </c>
      <c r="E47" s="7" t="s">
        <v>27</v>
      </c>
      <c r="F47" s="7" t="str">
        <f t="shared" si="1"/>
        <v>AGRICOLA Y FORESTAL NAGUILAN S.A.</v>
      </c>
      <c r="G47" s="9" t="s">
        <v>28</v>
      </c>
      <c r="H47" s="7" t="s">
        <v>29</v>
      </c>
      <c r="I47" s="9"/>
      <c r="J47" s="9"/>
      <c r="K47" s="9"/>
      <c r="L47" s="9"/>
      <c r="M47" s="9"/>
      <c r="N47" s="8" t="s">
        <v>30</v>
      </c>
      <c r="O47" s="9"/>
      <c r="P47" s="9">
        <v>41.162999999999997</v>
      </c>
      <c r="Q47" s="9"/>
      <c r="R47" s="10"/>
      <c r="S47" s="9"/>
      <c r="T47" s="10"/>
      <c r="U47" s="7" t="s">
        <v>29</v>
      </c>
      <c r="V47" s="5"/>
      <c r="W47" s="5"/>
      <c r="X47" s="5"/>
      <c r="Y47" s="7" t="s">
        <v>31</v>
      </c>
      <c r="Z47" s="7" t="s">
        <v>32</v>
      </c>
    </row>
    <row r="48" spans="1:26" x14ac:dyDescent="0.25">
      <c r="A48" s="9">
        <v>5332</v>
      </c>
      <c r="B48" s="9"/>
      <c r="C48" s="10">
        <v>45713.314305555556</v>
      </c>
      <c r="D48" s="6" t="s">
        <v>26</v>
      </c>
      <c r="E48" s="7" t="s">
        <v>27</v>
      </c>
      <c r="F48" s="7" t="str">
        <f t="shared" si="1"/>
        <v>AGRICOLA Y FORESTAL NAGUILAN S.A.</v>
      </c>
      <c r="G48" s="9" t="s">
        <v>28</v>
      </c>
      <c r="H48" s="7" t="s">
        <v>29</v>
      </c>
      <c r="I48" s="9"/>
      <c r="J48" s="9"/>
      <c r="K48" s="9"/>
      <c r="L48" s="9"/>
      <c r="M48" s="9"/>
      <c r="N48" s="8" t="s">
        <v>30</v>
      </c>
      <c r="O48" s="9"/>
      <c r="P48" s="9">
        <v>39.250999999999998</v>
      </c>
      <c r="Q48" s="9"/>
      <c r="R48" s="10"/>
      <c r="S48" s="9"/>
      <c r="T48" s="10"/>
      <c r="U48" s="7" t="s">
        <v>29</v>
      </c>
      <c r="V48" s="5"/>
      <c r="W48" s="5"/>
      <c r="X48" s="5"/>
      <c r="Y48" s="7" t="s">
        <v>31</v>
      </c>
      <c r="Z48" s="7" t="s">
        <v>32</v>
      </c>
    </row>
    <row r="49" spans="1:26" x14ac:dyDescent="0.25">
      <c r="A49" s="9">
        <v>5333</v>
      </c>
      <c r="B49" s="9"/>
      <c r="C49" s="10">
        <v>45713.415208333332</v>
      </c>
      <c r="D49" s="6" t="s">
        <v>26</v>
      </c>
      <c r="E49" s="7" t="s">
        <v>27</v>
      </c>
      <c r="F49" s="7" t="str">
        <f t="shared" si="1"/>
        <v>AGRICOLA Y FORESTAL NAGUILAN S.A.</v>
      </c>
      <c r="G49" s="9" t="s">
        <v>28</v>
      </c>
      <c r="H49" s="7" t="s">
        <v>29</v>
      </c>
      <c r="I49" s="9"/>
      <c r="J49" s="9"/>
      <c r="K49" s="9"/>
      <c r="L49" s="9"/>
      <c r="M49" s="9"/>
      <c r="N49" s="8" t="s">
        <v>30</v>
      </c>
      <c r="O49" s="9"/>
      <c r="P49" s="9">
        <v>40.061</v>
      </c>
      <c r="Q49" s="9"/>
      <c r="R49" s="10"/>
      <c r="S49" s="9"/>
      <c r="T49" s="10"/>
      <c r="U49" s="7" t="s">
        <v>29</v>
      </c>
      <c r="V49" s="5"/>
      <c r="W49" s="5"/>
      <c r="X49" s="5"/>
      <c r="Y49" s="7" t="s">
        <v>31</v>
      </c>
      <c r="Z49" s="7" t="s">
        <v>32</v>
      </c>
    </row>
    <row r="50" spans="1:26" x14ac:dyDescent="0.25">
      <c r="A50" s="9">
        <v>5334</v>
      </c>
      <c r="B50" s="9"/>
      <c r="C50" s="10">
        <v>45713.637916666667</v>
      </c>
      <c r="D50" s="6" t="s">
        <v>26</v>
      </c>
      <c r="E50" s="7" t="s">
        <v>27</v>
      </c>
      <c r="F50" s="7" t="str">
        <f t="shared" si="1"/>
        <v>AGRICOLA Y FORESTAL NAGUILAN S.A.</v>
      </c>
      <c r="G50" s="9" t="s">
        <v>28</v>
      </c>
      <c r="H50" s="7" t="s">
        <v>29</v>
      </c>
      <c r="I50" s="9"/>
      <c r="J50" s="9"/>
      <c r="K50" s="9"/>
      <c r="L50" s="9"/>
      <c r="M50" s="9"/>
      <c r="N50" s="8" t="s">
        <v>30</v>
      </c>
      <c r="O50" s="9"/>
      <c r="P50" s="9">
        <v>39.82</v>
      </c>
      <c r="Q50" s="9"/>
      <c r="R50" s="10"/>
      <c r="S50" s="9"/>
      <c r="T50" s="10"/>
      <c r="U50" s="7" t="s">
        <v>29</v>
      </c>
      <c r="V50" s="5"/>
      <c r="W50" s="5"/>
      <c r="X50" s="5"/>
      <c r="Y50" s="7" t="s">
        <v>31</v>
      </c>
      <c r="Z50" s="7" t="s">
        <v>32</v>
      </c>
    </row>
    <row r="51" spans="1:26" x14ac:dyDescent="0.25">
      <c r="A51" s="9">
        <v>5335</v>
      </c>
      <c r="B51" s="9"/>
      <c r="C51" s="10">
        <v>45714.314675925925</v>
      </c>
      <c r="D51" s="6" t="s">
        <v>26</v>
      </c>
      <c r="E51" s="7" t="s">
        <v>27</v>
      </c>
      <c r="F51" s="7" t="str">
        <f t="shared" si="1"/>
        <v>AGRICOLA Y FORESTAL NAGUILAN S.A.</v>
      </c>
      <c r="G51" s="9" t="s">
        <v>28</v>
      </c>
      <c r="H51" s="7" t="s">
        <v>29</v>
      </c>
      <c r="I51" s="9"/>
      <c r="J51" s="9"/>
      <c r="K51" s="9"/>
      <c r="L51" s="9"/>
      <c r="M51" s="9"/>
      <c r="N51" s="8" t="s">
        <v>30</v>
      </c>
      <c r="O51" s="9"/>
      <c r="P51" s="9">
        <v>39.948</v>
      </c>
      <c r="Q51" s="9"/>
      <c r="R51" s="10"/>
      <c r="S51" s="9"/>
      <c r="T51" s="10"/>
      <c r="U51" s="7" t="s">
        <v>29</v>
      </c>
      <c r="V51" s="5"/>
      <c r="W51" s="5"/>
      <c r="X51" s="5"/>
      <c r="Y51" s="7" t="s">
        <v>31</v>
      </c>
      <c r="Z51" s="7" t="s">
        <v>32</v>
      </c>
    </row>
    <row r="52" spans="1:26" x14ac:dyDescent="0.25">
      <c r="A52" s="9">
        <v>5336</v>
      </c>
      <c r="B52" s="9"/>
      <c r="C52" s="10">
        <v>45714.414074074077</v>
      </c>
      <c r="D52" s="6" t="s">
        <v>26</v>
      </c>
      <c r="E52" s="7" t="s">
        <v>27</v>
      </c>
      <c r="F52" s="7" t="str">
        <f t="shared" si="1"/>
        <v>AGRICOLA Y FORESTAL NAGUILAN S.A.</v>
      </c>
      <c r="G52" s="9" t="s">
        <v>28</v>
      </c>
      <c r="H52" s="7" t="s">
        <v>29</v>
      </c>
      <c r="I52" s="9"/>
      <c r="J52" s="9"/>
      <c r="K52" s="9"/>
      <c r="L52" s="9"/>
      <c r="M52" s="9"/>
      <c r="N52" s="8" t="s">
        <v>30</v>
      </c>
      <c r="O52" s="9"/>
      <c r="P52" s="9">
        <v>37.906999999999996</v>
      </c>
      <c r="Q52" s="9"/>
      <c r="R52" s="10"/>
      <c r="S52" s="9"/>
      <c r="T52" s="10"/>
      <c r="U52" s="7" t="s">
        <v>29</v>
      </c>
      <c r="V52" s="5"/>
      <c r="W52" s="5"/>
      <c r="X52" s="5"/>
      <c r="Y52" s="7" t="s">
        <v>31</v>
      </c>
      <c r="Z52" s="7" t="s">
        <v>32</v>
      </c>
    </row>
    <row r="53" spans="1:26" x14ac:dyDescent="0.25">
      <c r="A53" s="9">
        <v>5337</v>
      </c>
      <c r="B53" s="9"/>
      <c r="C53" s="10">
        <v>45714.536087962966</v>
      </c>
      <c r="D53" s="6" t="s">
        <v>26</v>
      </c>
      <c r="E53" s="7" t="s">
        <v>27</v>
      </c>
      <c r="F53" s="7" t="str">
        <f t="shared" si="1"/>
        <v>AGRICOLA Y FORESTAL NAGUILAN S.A.</v>
      </c>
      <c r="G53" s="9" t="s">
        <v>28</v>
      </c>
      <c r="H53" s="7" t="s">
        <v>29</v>
      </c>
      <c r="I53" s="9"/>
      <c r="J53" s="9"/>
      <c r="K53" s="9"/>
      <c r="L53" s="9"/>
      <c r="M53" s="9"/>
      <c r="N53" s="8" t="s">
        <v>30</v>
      </c>
      <c r="O53" s="9"/>
      <c r="P53" s="9">
        <v>39.628</v>
      </c>
      <c r="Q53" s="9"/>
      <c r="R53" s="10"/>
      <c r="S53" s="9"/>
      <c r="T53" s="10"/>
      <c r="U53" s="7" t="s">
        <v>29</v>
      </c>
      <c r="V53" s="5"/>
      <c r="W53" s="5"/>
      <c r="X53" s="5"/>
      <c r="Y53" s="7" t="s">
        <v>31</v>
      </c>
      <c r="Z53" s="7" t="s">
        <v>32</v>
      </c>
    </row>
    <row r="54" spans="1:26" x14ac:dyDescent="0.25">
      <c r="A54" s="9">
        <v>5338</v>
      </c>
      <c r="B54" s="9"/>
      <c r="C54" s="10">
        <v>45714.657951388886</v>
      </c>
      <c r="D54" s="6" t="s">
        <v>26</v>
      </c>
      <c r="E54" s="7" t="s">
        <v>27</v>
      </c>
      <c r="F54" s="7" t="str">
        <f t="shared" si="1"/>
        <v>AGRICOLA Y FORESTAL NAGUILAN S.A.</v>
      </c>
      <c r="G54" s="9" t="s">
        <v>28</v>
      </c>
      <c r="H54" s="7" t="s">
        <v>29</v>
      </c>
      <c r="I54" s="9"/>
      <c r="J54" s="9"/>
      <c r="K54" s="9"/>
      <c r="L54" s="9"/>
      <c r="M54" s="9"/>
      <c r="N54" s="8" t="s">
        <v>30</v>
      </c>
      <c r="O54" s="9"/>
      <c r="P54" s="9">
        <v>39.624000000000002</v>
      </c>
      <c r="Q54" s="9"/>
      <c r="R54" s="10"/>
      <c r="S54" s="9"/>
      <c r="T54" s="10"/>
      <c r="U54" s="7" t="s">
        <v>29</v>
      </c>
      <c r="V54" s="5"/>
      <c r="W54" s="5"/>
      <c r="X54" s="5"/>
      <c r="Y54" s="7" t="s">
        <v>31</v>
      </c>
      <c r="Z54" s="7" t="s">
        <v>32</v>
      </c>
    </row>
    <row r="55" spans="1:26" x14ac:dyDescent="0.25">
      <c r="P55">
        <f>SUM(P2:P54)</f>
        <v>2127.0469999999996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topLeftCell="E1" workbookViewId="0">
      <selection activeCell="P1" activeCellId="3" sqref="E1 F1 H1 P1"/>
    </sheetView>
  </sheetViews>
  <sheetFormatPr baseColWidth="10" defaultRowHeight="15" x14ac:dyDescent="0.25"/>
  <cols>
    <col min="3" max="3" width="15.7109375" bestFit="1" customWidth="1"/>
    <col min="6" max="6" width="33.28515625" bestFit="1" customWidth="1"/>
  </cols>
  <sheetData>
    <row r="1" spans="1:20" s="4" customFormat="1" ht="4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20</v>
      </c>
      <c r="R1" s="1" t="s">
        <v>24</v>
      </c>
      <c r="S1" s="1" t="s">
        <v>25</v>
      </c>
      <c r="T1" s="3"/>
    </row>
    <row r="2" spans="1:20" x14ac:dyDescent="0.25">
      <c r="A2" s="9">
        <v>5339</v>
      </c>
      <c r="B2" s="9"/>
      <c r="C2" s="10">
        <v>45719.324340277781</v>
      </c>
      <c r="D2" s="6" t="s">
        <v>26</v>
      </c>
      <c r="E2" s="7" t="s">
        <v>27</v>
      </c>
      <c r="F2" s="7" t="str">
        <f t="shared" ref="F2:F33" si="0">+E2</f>
        <v>AGRICOLA Y FORESTAL NAGUILAN S.A.</v>
      </c>
      <c r="G2" s="9" t="s">
        <v>28</v>
      </c>
      <c r="H2" s="7" t="s">
        <v>29</v>
      </c>
      <c r="I2" s="9"/>
      <c r="J2" s="9"/>
      <c r="K2" s="9"/>
      <c r="L2" s="9"/>
      <c r="M2" s="9"/>
      <c r="N2" s="8" t="s">
        <v>30</v>
      </c>
      <c r="O2" s="9"/>
      <c r="P2" s="9">
        <v>38.959000000000003</v>
      </c>
      <c r="Q2" s="7" t="s">
        <v>29</v>
      </c>
      <c r="R2" s="7" t="s">
        <v>31</v>
      </c>
      <c r="S2" s="7" t="s">
        <v>32</v>
      </c>
    </row>
    <row r="3" spans="1:20" x14ac:dyDescent="0.25">
      <c r="A3" s="9">
        <v>5340</v>
      </c>
      <c r="B3" s="9"/>
      <c r="C3" s="10">
        <v>45719.41511574074</v>
      </c>
      <c r="D3" s="6" t="s">
        <v>26</v>
      </c>
      <c r="E3" s="7" t="s">
        <v>27</v>
      </c>
      <c r="F3" s="7" t="str">
        <f t="shared" si="0"/>
        <v>AGRICOLA Y FORESTAL NAGUILAN S.A.</v>
      </c>
      <c r="G3" s="9" t="s">
        <v>28</v>
      </c>
      <c r="H3" s="7" t="s">
        <v>29</v>
      </c>
      <c r="I3" s="9"/>
      <c r="J3" s="9"/>
      <c r="K3" s="9"/>
      <c r="L3" s="9"/>
      <c r="M3" s="9"/>
      <c r="N3" s="8" t="s">
        <v>30</v>
      </c>
      <c r="O3" s="9"/>
      <c r="P3" s="9">
        <v>38.161999999999999</v>
      </c>
      <c r="Q3" s="7" t="s">
        <v>29</v>
      </c>
      <c r="R3" s="7" t="s">
        <v>31</v>
      </c>
      <c r="S3" s="7" t="s">
        <v>32</v>
      </c>
    </row>
    <row r="4" spans="1:20" x14ac:dyDescent="0.25">
      <c r="A4" s="9">
        <v>5341</v>
      </c>
      <c r="B4" s="9"/>
      <c r="C4" s="10">
        <v>45719.519988425927</v>
      </c>
      <c r="D4" s="6" t="s">
        <v>26</v>
      </c>
      <c r="E4" s="7" t="s">
        <v>27</v>
      </c>
      <c r="F4" s="7" t="str">
        <f t="shared" si="0"/>
        <v>AGRICOLA Y FORESTAL NAGUILAN S.A.</v>
      </c>
      <c r="G4" s="9" t="s">
        <v>28</v>
      </c>
      <c r="H4" s="7" t="s">
        <v>29</v>
      </c>
      <c r="I4" s="9"/>
      <c r="J4" s="9"/>
      <c r="K4" s="9"/>
      <c r="L4" s="9"/>
      <c r="M4" s="9"/>
      <c r="N4" s="8" t="s">
        <v>30</v>
      </c>
      <c r="O4" s="9"/>
      <c r="P4" s="9">
        <v>40.286999999999999</v>
      </c>
      <c r="Q4" s="7" t="s">
        <v>29</v>
      </c>
      <c r="R4" s="7" t="s">
        <v>31</v>
      </c>
      <c r="S4" s="7" t="s">
        <v>32</v>
      </c>
    </row>
    <row r="5" spans="1:20" x14ac:dyDescent="0.25">
      <c r="A5" s="9">
        <v>5342</v>
      </c>
      <c r="B5" s="9"/>
      <c r="C5" s="10">
        <v>45719.628553240742</v>
      </c>
      <c r="D5" s="6" t="s">
        <v>26</v>
      </c>
      <c r="E5" s="7" t="s">
        <v>27</v>
      </c>
      <c r="F5" s="7" t="str">
        <f t="shared" si="0"/>
        <v>AGRICOLA Y FORESTAL NAGUILAN S.A.</v>
      </c>
      <c r="G5" s="9" t="s">
        <v>28</v>
      </c>
      <c r="H5" s="7" t="s">
        <v>29</v>
      </c>
      <c r="I5" s="9"/>
      <c r="J5" s="9"/>
      <c r="K5" s="9"/>
      <c r="L5" s="9"/>
      <c r="M5" s="9"/>
      <c r="N5" s="8" t="s">
        <v>30</v>
      </c>
      <c r="O5" s="9"/>
      <c r="P5" s="9">
        <v>40.07</v>
      </c>
      <c r="Q5" s="7" t="s">
        <v>29</v>
      </c>
      <c r="R5" s="7" t="s">
        <v>31</v>
      </c>
      <c r="S5" s="7" t="s">
        <v>32</v>
      </c>
    </row>
    <row r="6" spans="1:20" x14ac:dyDescent="0.25">
      <c r="A6" s="9">
        <v>5343</v>
      </c>
      <c r="B6" s="9"/>
      <c r="C6" s="10">
        <v>45720.314502314817</v>
      </c>
      <c r="D6" s="6" t="s">
        <v>26</v>
      </c>
      <c r="E6" s="7" t="s">
        <v>27</v>
      </c>
      <c r="F6" s="7" t="str">
        <f t="shared" si="0"/>
        <v>AGRICOLA Y FORESTAL NAGUILAN S.A.</v>
      </c>
      <c r="G6" s="9" t="s">
        <v>28</v>
      </c>
      <c r="H6" s="7" t="s">
        <v>29</v>
      </c>
      <c r="I6" s="9"/>
      <c r="J6" s="9"/>
      <c r="K6" s="9"/>
      <c r="L6" s="9"/>
      <c r="M6" s="9"/>
      <c r="N6" s="8" t="s">
        <v>30</v>
      </c>
      <c r="O6" s="9"/>
      <c r="P6" s="9">
        <v>39.704999999999998</v>
      </c>
      <c r="Q6" s="7" t="s">
        <v>29</v>
      </c>
      <c r="R6" s="7" t="s">
        <v>31</v>
      </c>
      <c r="S6" s="7" t="s">
        <v>32</v>
      </c>
    </row>
    <row r="7" spans="1:20" x14ac:dyDescent="0.25">
      <c r="A7" s="9">
        <v>5344</v>
      </c>
      <c r="B7" s="9"/>
      <c r="C7" s="10">
        <v>45720.406284722223</v>
      </c>
      <c r="D7" s="6" t="s">
        <v>26</v>
      </c>
      <c r="E7" s="7" t="s">
        <v>27</v>
      </c>
      <c r="F7" s="7" t="str">
        <f t="shared" si="0"/>
        <v>AGRICOLA Y FORESTAL NAGUILAN S.A.</v>
      </c>
      <c r="G7" s="9" t="s">
        <v>28</v>
      </c>
      <c r="H7" s="7" t="s">
        <v>29</v>
      </c>
      <c r="I7" s="9"/>
      <c r="J7" s="9"/>
      <c r="K7" s="9"/>
      <c r="L7" s="9"/>
      <c r="M7" s="9"/>
      <c r="N7" s="8" t="s">
        <v>30</v>
      </c>
      <c r="O7" s="9"/>
      <c r="P7" s="9">
        <v>39.302999999999997</v>
      </c>
      <c r="Q7" s="7" t="s">
        <v>29</v>
      </c>
      <c r="R7" s="7" t="s">
        <v>31</v>
      </c>
      <c r="S7" s="7" t="s">
        <v>32</v>
      </c>
    </row>
    <row r="8" spans="1:20" x14ac:dyDescent="0.25">
      <c r="A8" s="9">
        <v>5345</v>
      </c>
      <c r="B8" s="9"/>
      <c r="C8" s="10">
        <v>45720.484386574077</v>
      </c>
      <c r="D8" s="6" t="s">
        <v>26</v>
      </c>
      <c r="E8" s="7" t="s">
        <v>27</v>
      </c>
      <c r="F8" s="7" t="str">
        <f t="shared" si="0"/>
        <v>AGRICOLA Y FORESTAL NAGUILAN S.A.</v>
      </c>
      <c r="G8" s="9" t="s">
        <v>28</v>
      </c>
      <c r="H8" s="7" t="s">
        <v>29</v>
      </c>
      <c r="I8" s="9"/>
      <c r="J8" s="9"/>
      <c r="K8" s="9"/>
      <c r="L8" s="9"/>
      <c r="M8" s="9"/>
      <c r="N8" s="8" t="s">
        <v>30</v>
      </c>
      <c r="O8" s="9"/>
      <c r="P8" s="9">
        <v>39.084000000000003</v>
      </c>
      <c r="Q8" s="7" t="s">
        <v>29</v>
      </c>
      <c r="R8" s="7" t="s">
        <v>31</v>
      </c>
      <c r="S8" s="7" t="s">
        <v>32</v>
      </c>
    </row>
    <row r="9" spans="1:20" x14ac:dyDescent="0.25">
      <c r="A9" s="9">
        <v>5346</v>
      </c>
      <c r="B9" s="9"/>
      <c r="C9" s="10">
        <v>45720.603726851848</v>
      </c>
      <c r="D9" s="6" t="s">
        <v>26</v>
      </c>
      <c r="E9" s="7" t="s">
        <v>27</v>
      </c>
      <c r="F9" s="7" t="str">
        <f t="shared" si="0"/>
        <v>AGRICOLA Y FORESTAL NAGUILAN S.A.</v>
      </c>
      <c r="G9" s="9" t="s">
        <v>28</v>
      </c>
      <c r="H9" s="7" t="s">
        <v>29</v>
      </c>
      <c r="I9" s="9"/>
      <c r="J9" s="9"/>
      <c r="K9" s="9"/>
      <c r="L9" s="9"/>
      <c r="M9" s="9"/>
      <c r="N9" s="8" t="s">
        <v>30</v>
      </c>
      <c r="O9" s="9"/>
      <c r="P9" s="9">
        <v>39.140999999999998</v>
      </c>
      <c r="Q9" s="7" t="s">
        <v>29</v>
      </c>
      <c r="R9" s="7" t="s">
        <v>31</v>
      </c>
      <c r="S9" s="7" t="s">
        <v>32</v>
      </c>
    </row>
    <row r="10" spans="1:20" x14ac:dyDescent="0.25">
      <c r="A10" s="9">
        <v>5347</v>
      </c>
      <c r="B10" s="9"/>
      <c r="C10" s="10">
        <v>45721.448252314818</v>
      </c>
      <c r="D10" s="6" t="s">
        <v>26</v>
      </c>
      <c r="E10" s="7" t="s">
        <v>27</v>
      </c>
      <c r="F10" s="7" t="str">
        <f t="shared" si="0"/>
        <v>AGRICOLA Y FORESTAL NAGUILAN S.A.</v>
      </c>
      <c r="G10" s="9" t="s">
        <v>28</v>
      </c>
      <c r="H10" s="7" t="s">
        <v>29</v>
      </c>
      <c r="I10" s="9"/>
      <c r="J10" s="9"/>
      <c r="K10" s="9"/>
      <c r="L10" s="9"/>
      <c r="M10" s="9"/>
      <c r="N10" s="8" t="s">
        <v>30</v>
      </c>
      <c r="O10" s="9"/>
      <c r="P10" s="9">
        <v>44.313000000000002</v>
      </c>
      <c r="Q10" s="7" t="s">
        <v>29</v>
      </c>
      <c r="R10" s="7" t="s">
        <v>31</v>
      </c>
      <c r="S10" s="7" t="s">
        <v>32</v>
      </c>
    </row>
    <row r="11" spans="1:20" x14ac:dyDescent="0.25">
      <c r="A11" s="9">
        <v>5348</v>
      </c>
      <c r="B11" s="9"/>
      <c r="C11" s="10">
        <v>45721.600092592591</v>
      </c>
      <c r="D11" s="6" t="s">
        <v>26</v>
      </c>
      <c r="E11" s="7" t="s">
        <v>27</v>
      </c>
      <c r="F11" s="7" t="str">
        <f t="shared" si="0"/>
        <v>AGRICOLA Y FORESTAL NAGUILAN S.A.</v>
      </c>
      <c r="G11" s="9" t="s">
        <v>28</v>
      </c>
      <c r="H11" s="7" t="s">
        <v>29</v>
      </c>
      <c r="I11" s="9"/>
      <c r="J11" s="9"/>
      <c r="K11" s="9"/>
      <c r="L11" s="9"/>
      <c r="M11" s="9"/>
      <c r="N11" s="8" t="s">
        <v>30</v>
      </c>
      <c r="O11" s="9"/>
      <c r="P11" s="9">
        <v>40.973999999999997</v>
      </c>
      <c r="Q11" s="7" t="s">
        <v>29</v>
      </c>
      <c r="R11" s="7" t="s">
        <v>31</v>
      </c>
      <c r="S11" s="7" t="s">
        <v>32</v>
      </c>
    </row>
    <row r="12" spans="1:20" x14ac:dyDescent="0.25">
      <c r="A12" s="9">
        <v>5349</v>
      </c>
      <c r="B12" s="9"/>
      <c r="C12" s="10">
        <v>45722.316701388889</v>
      </c>
      <c r="D12" s="6" t="s">
        <v>26</v>
      </c>
      <c r="E12" s="7" t="s">
        <v>27</v>
      </c>
      <c r="F12" s="7" t="str">
        <f t="shared" si="0"/>
        <v>AGRICOLA Y FORESTAL NAGUILAN S.A.</v>
      </c>
      <c r="G12" s="9" t="s">
        <v>28</v>
      </c>
      <c r="H12" s="7" t="s">
        <v>29</v>
      </c>
      <c r="I12" s="9"/>
      <c r="J12" s="9"/>
      <c r="K12" s="9"/>
      <c r="L12" s="9"/>
      <c r="M12" s="9"/>
      <c r="N12" s="8" t="s">
        <v>30</v>
      </c>
      <c r="O12" s="9"/>
      <c r="P12" s="9">
        <v>39.521000000000001</v>
      </c>
      <c r="Q12" s="7" t="s">
        <v>29</v>
      </c>
      <c r="R12" s="7" t="s">
        <v>31</v>
      </c>
      <c r="S12" s="7" t="s">
        <v>32</v>
      </c>
    </row>
    <row r="13" spans="1:20" x14ac:dyDescent="0.25">
      <c r="A13" s="9">
        <v>5350</v>
      </c>
      <c r="B13" s="9"/>
      <c r="C13" s="10">
        <v>45722.405347222222</v>
      </c>
      <c r="D13" s="6" t="s">
        <v>26</v>
      </c>
      <c r="E13" s="7" t="s">
        <v>27</v>
      </c>
      <c r="F13" s="7" t="str">
        <f t="shared" si="0"/>
        <v>AGRICOLA Y FORESTAL NAGUILAN S.A.</v>
      </c>
      <c r="G13" s="9" t="s">
        <v>28</v>
      </c>
      <c r="H13" s="7" t="s">
        <v>29</v>
      </c>
      <c r="I13" s="9"/>
      <c r="J13" s="9"/>
      <c r="K13" s="9"/>
      <c r="L13" s="9"/>
      <c r="M13" s="9"/>
      <c r="N13" s="8" t="s">
        <v>30</v>
      </c>
      <c r="O13" s="9"/>
      <c r="P13" s="9">
        <v>39.518999999999998</v>
      </c>
      <c r="Q13" s="7" t="s">
        <v>29</v>
      </c>
      <c r="R13" s="7" t="s">
        <v>31</v>
      </c>
      <c r="S13" s="7" t="s">
        <v>32</v>
      </c>
    </row>
    <row r="14" spans="1:20" x14ac:dyDescent="0.25">
      <c r="A14" s="9">
        <v>5451</v>
      </c>
      <c r="B14" s="9"/>
      <c r="C14" s="10">
        <v>45722.487326388888</v>
      </c>
      <c r="D14" s="6" t="s">
        <v>26</v>
      </c>
      <c r="E14" s="7" t="s">
        <v>27</v>
      </c>
      <c r="F14" s="7" t="str">
        <f t="shared" si="0"/>
        <v>AGRICOLA Y FORESTAL NAGUILAN S.A.</v>
      </c>
      <c r="G14" s="9" t="s">
        <v>28</v>
      </c>
      <c r="H14" s="7" t="s">
        <v>29</v>
      </c>
      <c r="I14" s="9"/>
      <c r="J14" s="9"/>
      <c r="K14" s="9"/>
      <c r="L14" s="9"/>
      <c r="M14" s="9"/>
      <c r="N14" s="8" t="s">
        <v>30</v>
      </c>
      <c r="O14" s="9"/>
      <c r="P14" s="9">
        <v>40.863</v>
      </c>
      <c r="Q14" s="7" t="s">
        <v>29</v>
      </c>
      <c r="R14" s="7" t="s">
        <v>31</v>
      </c>
      <c r="S14" s="7" t="s">
        <v>32</v>
      </c>
    </row>
    <row r="15" spans="1:20" x14ac:dyDescent="0.25">
      <c r="A15" s="9">
        <v>5452</v>
      </c>
      <c r="B15" s="9"/>
      <c r="C15" s="10">
        <v>45722.591435185182</v>
      </c>
      <c r="D15" s="6" t="s">
        <v>26</v>
      </c>
      <c r="E15" s="7" t="s">
        <v>27</v>
      </c>
      <c r="F15" s="7" t="str">
        <f t="shared" si="0"/>
        <v>AGRICOLA Y FORESTAL NAGUILAN S.A.</v>
      </c>
      <c r="G15" s="9" t="s">
        <v>28</v>
      </c>
      <c r="H15" s="7" t="s">
        <v>29</v>
      </c>
      <c r="I15" s="9"/>
      <c r="J15" s="9"/>
      <c r="K15" s="9"/>
      <c r="L15" s="9"/>
      <c r="M15" s="9"/>
      <c r="N15" s="8" t="s">
        <v>30</v>
      </c>
      <c r="O15" s="9"/>
      <c r="P15" s="9">
        <v>41.558999999999997</v>
      </c>
      <c r="Q15" s="7" t="s">
        <v>29</v>
      </c>
      <c r="R15" s="7" t="s">
        <v>31</v>
      </c>
      <c r="S15" s="7" t="s">
        <v>32</v>
      </c>
    </row>
    <row r="16" spans="1:20" x14ac:dyDescent="0.25">
      <c r="A16" s="9">
        <v>5453</v>
      </c>
      <c r="B16" s="9"/>
      <c r="C16" s="10">
        <v>45727.316516203704</v>
      </c>
      <c r="D16" s="6" t="s">
        <v>26</v>
      </c>
      <c r="E16" s="7" t="s">
        <v>27</v>
      </c>
      <c r="F16" s="7" t="str">
        <f t="shared" si="0"/>
        <v>AGRICOLA Y FORESTAL NAGUILAN S.A.</v>
      </c>
      <c r="G16" s="9" t="s">
        <v>28</v>
      </c>
      <c r="H16" s="7" t="s">
        <v>29</v>
      </c>
      <c r="I16" s="9"/>
      <c r="J16" s="9"/>
      <c r="K16" s="9"/>
      <c r="L16" s="9"/>
      <c r="M16" s="9"/>
      <c r="N16" s="8" t="s">
        <v>30</v>
      </c>
      <c r="O16" s="9"/>
      <c r="P16" s="9">
        <v>39.469000000000001</v>
      </c>
      <c r="Q16" s="7" t="s">
        <v>29</v>
      </c>
      <c r="R16" s="7" t="s">
        <v>31</v>
      </c>
      <c r="S16" s="7" t="s">
        <v>32</v>
      </c>
    </row>
    <row r="17" spans="1:19" x14ac:dyDescent="0.25">
      <c r="A17" s="9">
        <v>5454</v>
      </c>
      <c r="B17" s="9"/>
      <c r="C17" s="10">
        <v>45727.412858796299</v>
      </c>
      <c r="D17" s="6" t="s">
        <v>26</v>
      </c>
      <c r="E17" s="7" t="s">
        <v>27</v>
      </c>
      <c r="F17" s="7" t="str">
        <f t="shared" si="0"/>
        <v>AGRICOLA Y FORESTAL NAGUILAN S.A.</v>
      </c>
      <c r="G17" s="9" t="s">
        <v>28</v>
      </c>
      <c r="H17" s="7" t="s">
        <v>29</v>
      </c>
      <c r="I17" s="9"/>
      <c r="J17" s="9"/>
      <c r="K17" s="9"/>
      <c r="L17" s="9"/>
      <c r="M17" s="9"/>
      <c r="N17" s="8" t="s">
        <v>30</v>
      </c>
      <c r="O17" s="9"/>
      <c r="P17" s="9">
        <v>41.747999999999998</v>
      </c>
      <c r="Q17" s="7" t="s">
        <v>29</v>
      </c>
      <c r="R17" s="7" t="s">
        <v>31</v>
      </c>
      <c r="S17" s="7" t="s">
        <v>32</v>
      </c>
    </row>
    <row r="18" spans="1:19" x14ac:dyDescent="0.25">
      <c r="A18" s="9">
        <v>5455</v>
      </c>
      <c r="B18" s="9"/>
      <c r="C18" s="10">
        <v>45727.504791666666</v>
      </c>
      <c r="D18" s="6" t="s">
        <v>26</v>
      </c>
      <c r="E18" s="7" t="s">
        <v>27</v>
      </c>
      <c r="F18" s="7" t="str">
        <f t="shared" si="0"/>
        <v>AGRICOLA Y FORESTAL NAGUILAN S.A.</v>
      </c>
      <c r="G18" s="9" t="s">
        <v>28</v>
      </c>
      <c r="H18" s="7" t="s">
        <v>29</v>
      </c>
      <c r="I18" s="9"/>
      <c r="J18" s="9"/>
      <c r="K18" s="9"/>
      <c r="L18" s="9"/>
      <c r="M18" s="9"/>
      <c r="N18" s="8" t="s">
        <v>30</v>
      </c>
      <c r="O18" s="9"/>
      <c r="P18" s="9">
        <v>40.529000000000003</v>
      </c>
      <c r="Q18" s="7" t="s">
        <v>29</v>
      </c>
      <c r="R18" s="7" t="s">
        <v>31</v>
      </c>
      <c r="S18" s="7" t="s">
        <v>32</v>
      </c>
    </row>
    <row r="19" spans="1:19" x14ac:dyDescent="0.25">
      <c r="A19" s="9">
        <v>5456</v>
      </c>
      <c r="B19" s="9"/>
      <c r="C19" s="10">
        <v>45727.6172337963</v>
      </c>
      <c r="D19" s="6" t="s">
        <v>26</v>
      </c>
      <c r="E19" s="7" t="s">
        <v>27</v>
      </c>
      <c r="F19" s="7" t="str">
        <f t="shared" si="0"/>
        <v>AGRICOLA Y FORESTAL NAGUILAN S.A.</v>
      </c>
      <c r="G19" s="9" t="s">
        <v>28</v>
      </c>
      <c r="H19" s="7" t="s">
        <v>29</v>
      </c>
      <c r="I19" s="9"/>
      <c r="J19" s="9"/>
      <c r="K19" s="9"/>
      <c r="L19" s="9"/>
      <c r="M19" s="9"/>
      <c r="N19" s="8" t="s">
        <v>30</v>
      </c>
      <c r="O19" s="9"/>
      <c r="P19" s="9">
        <v>42.04</v>
      </c>
      <c r="Q19" s="7" t="s">
        <v>29</v>
      </c>
      <c r="R19" s="7" t="s">
        <v>31</v>
      </c>
      <c r="S19" s="7" t="s">
        <v>32</v>
      </c>
    </row>
    <row r="20" spans="1:19" x14ac:dyDescent="0.25">
      <c r="A20" s="9">
        <v>5457</v>
      </c>
      <c r="B20" s="9"/>
      <c r="C20" s="10">
        <v>45728.315474537034</v>
      </c>
      <c r="D20" s="6" t="s">
        <v>26</v>
      </c>
      <c r="E20" s="7" t="s">
        <v>27</v>
      </c>
      <c r="F20" s="7" t="str">
        <f t="shared" si="0"/>
        <v>AGRICOLA Y FORESTAL NAGUILAN S.A.</v>
      </c>
      <c r="G20" s="9" t="s">
        <v>28</v>
      </c>
      <c r="H20" s="7" t="s">
        <v>29</v>
      </c>
      <c r="I20" s="9"/>
      <c r="J20" s="9"/>
      <c r="K20" s="9"/>
      <c r="L20" s="9"/>
      <c r="M20" s="9"/>
      <c r="N20" s="8" t="s">
        <v>30</v>
      </c>
      <c r="O20" s="9"/>
      <c r="P20" s="9">
        <v>38.655999999999999</v>
      </c>
      <c r="Q20" s="7" t="s">
        <v>29</v>
      </c>
      <c r="R20" s="7" t="s">
        <v>31</v>
      </c>
      <c r="S20" s="7" t="s">
        <v>32</v>
      </c>
    </row>
    <row r="21" spans="1:19" x14ac:dyDescent="0.25">
      <c r="A21" s="9">
        <v>5458</v>
      </c>
      <c r="B21" s="9"/>
      <c r="C21" s="10">
        <v>45728.406099537038</v>
      </c>
      <c r="D21" s="6" t="s">
        <v>26</v>
      </c>
      <c r="E21" s="7" t="s">
        <v>27</v>
      </c>
      <c r="F21" s="7" t="str">
        <f t="shared" si="0"/>
        <v>AGRICOLA Y FORESTAL NAGUILAN S.A.</v>
      </c>
      <c r="G21" s="9" t="s">
        <v>28</v>
      </c>
      <c r="H21" s="7" t="s">
        <v>29</v>
      </c>
      <c r="I21" s="9"/>
      <c r="J21" s="9"/>
      <c r="K21" s="9"/>
      <c r="L21" s="9"/>
      <c r="M21" s="9"/>
      <c r="N21" s="8" t="s">
        <v>30</v>
      </c>
      <c r="O21" s="9"/>
      <c r="P21" s="9">
        <v>40.331000000000003</v>
      </c>
      <c r="Q21" s="7" t="s">
        <v>29</v>
      </c>
      <c r="R21" s="7" t="s">
        <v>31</v>
      </c>
      <c r="S21" s="7" t="s">
        <v>32</v>
      </c>
    </row>
    <row r="22" spans="1:19" x14ac:dyDescent="0.25">
      <c r="A22" s="9">
        <v>5459</v>
      </c>
      <c r="B22" s="9"/>
      <c r="C22" s="10">
        <v>45728.493483796294</v>
      </c>
      <c r="D22" s="6" t="s">
        <v>26</v>
      </c>
      <c r="E22" s="7" t="s">
        <v>27</v>
      </c>
      <c r="F22" s="7" t="str">
        <f t="shared" si="0"/>
        <v>AGRICOLA Y FORESTAL NAGUILAN S.A.</v>
      </c>
      <c r="G22" s="9" t="s">
        <v>28</v>
      </c>
      <c r="H22" s="7" t="s">
        <v>29</v>
      </c>
      <c r="I22" s="9"/>
      <c r="J22" s="9"/>
      <c r="K22" s="9"/>
      <c r="L22" s="9"/>
      <c r="M22" s="9"/>
      <c r="N22" s="8" t="s">
        <v>30</v>
      </c>
      <c r="O22" s="9"/>
      <c r="P22" s="9">
        <v>29.207000000000001</v>
      </c>
      <c r="Q22" s="7" t="s">
        <v>29</v>
      </c>
      <c r="R22" s="7" t="s">
        <v>31</v>
      </c>
      <c r="S22" s="7" t="s">
        <v>32</v>
      </c>
    </row>
    <row r="23" spans="1:19" x14ac:dyDescent="0.25">
      <c r="A23" s="9">
        <v>5460</v>
      </c>
      <c r="B23" s="9"/>
      <c r="C23" s="10">
        <v>45729.31454861111</v>
      </c>
      <c r="D23" s="6" t="s">
        <v>26</v>
      </c>
      <c r="E23" s="7" t="s">
        <v>27</v>
      </c>
      <c r="F23" s="7" t="str">
        <f t="shared" si="0"/>
        <v>AGRICOLA Y FORESTAL NAGUILAN S.A.</v>
      </c>
      <c r="G23" s="9" t="s">
        <v>28</v>
      </c>
      <c r="H23" s="7" t="s">
        <v>29</v>
      </c>
      <c r="I23" s="9"/>
      <c r="J23" s="9"/>
      <c r="K23" s="9"/>
      <c r="L23" s="9"/>
      <c r="M23" s="9"/>
      <c r="N23" s="8" t="s">
        <v>30</v>
      </c>
      <c r="O23" s="9"/>
      <c r="P23" s="9">
        <v>39.752000000000002</v>
      </c>
      <c r="Q23" s="7" t="s">
        <v>29</v>
      </c>
      <c r="R23" s="7" t="s">
        <v>31</v>
      </c>
      <c r="S23" s="7" t="s">
        <v>32</v>
      </c>
    </row>
    <row r="24" spans="1:19" x14ac:dyDescent="0.25">
      <c r="A24" s="9">
        <v>5461</v>
      </c>
      <c r="B24" s="9"/>
      <c r="C24" s="10">
        <v>45729.407835648148</v>
      </c>
      <c r="D24" s="6" t="s">
        <v>26</v>
      </c>
      <c r="E24" s="7" t="s">
        <v>27</v>
      </c>
      <c r="F24" s="7" t="str">
        <f t="shared" si="0"/>
        <v>AGRICOLA Y FORESTAL NAGUILAN S.A.</v>
      </c>
      <c r="G24" s="9" t="s">
        <v>28</v>
      </c>
      <c r="H24" s="7" t="s">
        <v>29</v>
      </c>
      <c r="I24" s="9"/>
      <c r="J24" s="9"/>
      <c r="K24" s="9"/>
      <c r="L24" s="9"/>
      <c r="M24" s="9"/>
      <c r="N24" s="8" t="s">
        <v>30</v>
      </c>
      <c r="O24" s="9"/>
      <c r="P24" s="9">
        <v>40.203000000000003</v>
      </c>
      <c r="Q24" s="7" t="s">
        <v>29</v>
      </c>
      <c r="R24" s="7" t="s">
        <v>31</v>
      </c>
      <c r="S24" s="7" t="s">
        <v>32</v>
      </c>
    </row>
    <row r="25" spans="1:19" x14ac:dyDescent="0.25">
      <c r="A25" s="9">
        <v>5462</v>
      </c>
      <c r="B25" s="9"/>
      <c r="C25" s="10">
        <v>45729.496886574074</v>
      </c>
      <c r="D25" s="6" t="s">
        <v>26</v>
      </c>
      <c r="E25" s="7" t="s">
        <v>27</v>
      </c>
      <c r="F25" s="7" t="str">
        <f t="shared" si="0"/>
        <v>AGRICOLA Y FORESTAL NAGUILAN S.A.</v>
      </c>
      <c r="G25" s="9" t="s">
        <v>28</v>
      </c>
      <c r="H25" s="7" t="s">
        <v>29</v>
      </c>
      <c r="I25" s="9"/>
      <c r="J25" s="9"/>
      <c r="K25" s="9"/>
      <c r="L25" s="9"/>
      <c r="M25" s="9"/>
      <c r="N25" s="8" t="s">
        <v>30</v>
      </c>
      <c r="O25" s="9"/>
      <c r="P25" s="9">
        <v>38.9</v>
      </c>
      <c r="Q25" s="7" t="s">
        <v>29</v>
      </c>
      <c r="R25" s="7" t="s">
        <v>31</v>
      </c>
      <c r="S25" s="7" t="s">
        <v>32</v>
      </c>
    </row>
    <row r="26" spans="1:19" x14ac:dyDescent="0.25">
      <c r="A26" s="9">
        <v>5463</v>
      </c>
      <c r="B26" s="9"/>
      <c r="C26" s="10">
        <v>45729.607777777775</v>
      </c>
      <c r="D26" s="6" t="s">
        <v>26</v>
      </c>
      <c r="E26" s="7" t="s">
        <v>27</v>
      </c>
      <c r="F26" s="7" t="str">
        <f t="shared" si="0"/>
        <v>AGRICOLA Y FORESTAL NAGUILAN S.A.</v>
      </c>
      <c r="G26" s="9" t="s">
        <v>28</v>
      </c>
      <c r="H26" s="7" t="s">
        <v>29</v>
      </c>
      <c r="I26" s="9"/>
      <c r="J26" s="9"/>
      <c r="K26" s="9"/>
      <c r="L26" s="9"/>
      <c r="M26" s="9"/>
      <c r="N26" s="8" t="s">
        <v>30</v>
      </c>
      <c r="O26" s="9"/>
      <c r="P26" s="9">
        <v>40.363</v>
      </c>
      <c r="Q26" s="7" t="s">
        <v>29</v>
      </c>
      <c r="R26" s="7" t="s">
        <v>31</v>
      </c>
      <c r="S26" s="7" t="s">
        <v>32</v>
      </c>
    </row>
    <row r="27" spans="1:19" x14ac:dyDescent="0.25">
      <c r="A27" s="9">
        <v>5464</v>
      </c>
      <c r="B27" s="9"/>
      <c r="C27" s="10">
        <v>45730.319733796299</v>
      </c>
      <c r="D27" s="6" t="s">
        <v>26</v>
      </c>
      <c r="E27" s="7" t="s">
        <v>27</v>
      </c>
      <c r="F27" s="7" t="str">
        <f t="shared" si="0"/>
        <v>AGRICOLA Y FORESTAL NAGUILAN S.A.</v>
      </c>
      <c r="G27" s="9" t="s">
        <v>28</v>
      </c>
      <c r="H27" s="7" t="s">
        <v>29</v>
      </c>
      <c r="I27" s="9"/>
      <c r="J27" s="9"/>
      <c r="K27" s="9"/>
      <c r="L27" s="9"/>
      <c r="M27" s="9"/>
      <c r="N27" s="8" t="s">
        <v>30</v>
      </c>
      <c r="O27" s="9"/>
      <c r="P27" s="9">
        <v>39.478000000000002</v>
      </c>
      <c r="Q27" s="7" t="s">
        <v>29</v>
      </c>
      <c r="R27" s="7" t="s">
        <v>31</v>
      </c>
      <c r="S27" s="7" t="s">
        <v>32</v>
      </c>
    </row>
    <row r="28" spans="1:19" x14ac:dyDescent="0.25">
      <c r="A28" s="9">
        <v>5465</v>
      </c>
      <c r="B28" s="9"/>
      <c r="C28" s="10">
        <v>45730.403634259259</v>
      </c>
      <c r="D28" s="6" t="s">
        <v>26</v>
      </c>
      <c r="E28" s="7" t="s">
        <v>27</v>
      </c>
      <c r="F28" s="7" t="str">
        <f t="shared" si="0"/>
        <v>AGRICOLA Y FORESTAL NAGUILAN S.A.</v>
      </c>
      <c r="G28" s="9" t="s">
        <v>28</v>
      </c>
      <c r="H28" s="7" t="s">
        <v>29</v>
      </c>
      <c r="I28" s="9"/>
      <c r="J28" s="9"/>
      <c r="K28" s="9"/>
      <c r="L28" s="9"/>
      <c r="M28" s="9"/>
      <c r="N28" s="8" t="s">
        <v>30</v>
      </c>
      <c r="O28" s="9"/>
      <c r="P28" s="9">
        <v>40.366</v>
      </c>
      <c r="Q28" s="7" t="s">
        <v>29</v>
      </c>
      <c r="R28" s="7" t="s">
        <v>31</v>
      </c>
      <c r="S28" s="7" t="s">
        <v>32</v>
      </c>
    </row>
    <row r="29" spans="1:19" x14ac:dyDescent="0.25">
      <c r="A29" s="9">
        <v>5466</v>
      </c>
      <c r="B29" s="9"/>
      <c r="C29" s="10">
        <v>45730.484502314815</v>
      </c>
      <c r="D29" s="6" t="s">
        <v>26</v>
      </c>
      <c r="E29" s="7" t="s">
        <v>27</v>
      </c>
      <c r="F29" s="7" t="str">
        <f t="shared" si="0"/>
        <v>AGRICOLA Y FORESTAL NAGUILAN S.A.</v>
      </c>
      <c r="G29" s="9" t="s">
        <v>28</v>
      </c>
      <c r="H29" s="7" t="s">
        <v>29</v>
      </c>
      <c r="I29" s="9"/>
      <c r="J29" s="9"/>
      <c r="K29" s="9"/>
      <c r="L29" s="9"/>
      <c r="M29" s="9"/>
      <c r="N29" s="8" t="s">
        <v>30</v>
      </c>
      <c r="O29" s="9"/>
      <c r="P29" s="9">
        <v>40.286000000000001</v>
      </c>
      <c r="Q29" s="7" t="s">
        <v>29</v>
      </c>
      <c r="R29" s="7" t="s">
        <v>31</v>
      </c>
      <c r="S29" s="7" t="s">
        <v>32</v>
      </c>
    </row>
    <row r="30" spans="1:19" x14ac:dyDescent="0.25">
      <c r="A30" s="9">
        <v>5467</v>
      </c>
      <c r="B30" s="9"/>
      <c r="C30" s="10">
        <v>45730.584004629629</v>
      </c>
      <c r="D30" s="6" t="s">
        <v>26</v>
      </c>
      <c r="E30" s="7" t="s">
        <v>27</v>
      </c>
      <c r="F30" s="7" t="str">
        <f t="shared" si="0"/>
        <v>AGRICOLA Y FORESTAL NAGUILAN S.A.</v>
      </c>
      <c r="G30" s="9" t="s">
        <v>28</v>
      </c>
      <c r="H30" s="7" t="s">
        <v>29</v>
      </c>
      <c r="I30" s="9"/>
      <c r="J30" s="9"/>
      <c r="K30" s="9"/>
      <c r="L30" s="9"/>
      <c r="M30" s="9"/>
      <c r="N30" s="8" t="s">
        <v>30</v>
      </c>
      <c r="O30" s="9"/>
      <c r="P30" s="9">
        <v>41.118000000000002</v>
      </c>
      <c r="Q30" s="7" t="s">
        <v>29</v>
      </c>
      <c r="R30" s="7" t="s">
        <v>31</v>
      </c>
      <c r="S30" s="7" t="s">
        <v>32</v>
      </c>
    </row>
    <row r="31" spans="1:19" x14ac:dyDescent="0.25">
      <c r="A31" s="9">
        <v>5468</v>
      </c>
      <c r="B31" s="9"/>
      <c r="C31" s="10">
        <v>45733.319016203706</v>
      </c>
      <c r="D31" s="6" t="s">
        <v>26</v>
      </c>
      <c r="E31" s="7" t="s">
        <v>27</v>
      </c>
      <c r="F31" s="7" t="str">
        <f t="shared" si="0"/>
        <v>AGRICOLA Y FORESTAL NAGUILAN S.A.</v>
      </c>
      <c r="G31" s="9" t="s">
        <v>28</v>
      </c>
      <c r="H31" s="7" t="s">
        <v>29</v>
      </c>
      <c r="I31" s="9"/>
      <c r="J31" s="9"/>
      <c r="K31" s="9"/>
      <c r="L31" s="9"/>
      <c r="M31" s="9"/>
      <c r="N31" s="8" t="s">
        <v>30</v>
      </c>
      <c r="O31" s="9"/>
      <c r="P31" s="9">
        <v>39.625</v>
      </c>
      <c r="Q31" s="7" t="s">
        <v>29</v>
      </c>
      <c r="R31" s="7" t="s">
        <v>31</v>
      </c>
      <c r="S31" s="7" t="s">
        <v>32</v>
      </c>
    </row>
    <row r="32" spans="1:19" x14ac:dyDescent="0.25">
      <c r="A32" s="9">
        <v>5469</v>
      </c>
      <c r="B32" s="9"/>
      <c r="C32" s="10">
        <v>45733.403275462966</v>
      </c>
      <c r="D32" s="6" t="s">
        <v>26</v>
      </c>
      <c r="E32" s="7" t="s">
        <v>27</v>
      </c>
      <c r="F32" s="7" t="str">
        <f t="shared" si="0"/>
        <v>AGRICOLA Y FORESTAL NAGUILAN S.A.</v>
      </c>
      <c r="G32" s="9" t="s">
        <v>28</v>
      </c>
      <c r="H32" s="7" t="s">
        <v>29</v>
      </c>
      <c r="I32" s="9"/>
      <c r="J32" s="9"/>
      <c r="K32" s="9"/>
      <c r="L32" s="9"/>
      <c r="M32" s="9"/>
      <c r="N32" s="8" t="s">
        <v>30</v>
      </c>
      <c r="O32" s="9"/>
      <c r="P32" s="9">
        <v>39.841999999999999</v>
      </c>
      <c r="Q32" s="7" t="s">
        <v>29</v>
      </c>
      <c r="R32" s="7" t="s">
        <v>31</v>
      </c>
      <c r="S32" s="7" t="s">
        <v>32</v>
      </c>
    </row>
    <row r="33" spans="1:19" x14ac:dyDescent="0.25">
      <c r="A33" s="9">
        <v>5470</v>
      </c>
      <c r="B33" s="9"/>
      <c r="C33" s="10">
        <v>45733.49324074074</v>
      </c>
      <c r="D33" s="6" t="s">
        <v>26</v>
      </c>
      <c r="E33" s="7" t="s">
        <v>27</v>
      </c>
      <c r="F33" s="7" t="str">
        <f t="shared" si="0"/>
        <v>AGRICOLA Y FORESTAL NAGUILAN S.A.</v>
      </c>
      <c r="G33" s="9" t="s">
        <v>28</v>
      </c>
      <c r="H33" s="7" t="s">
        <v>29</v>
      </c>
      <c r="I33" s="9"/>
      <c r="J33" s="9"/>
      <c r="K33" s="9"/>
      <c r="L33" s="9"/>
      <c r="M33" s="9"/>
      <c r="N33" s="8" t="s">
        <v>30</v>
      </c>
      <c r="O33" s="9"/>
      <c r="P33" s="9">
        <v>40.759</v>
      </c>
      <c r="Q33" s="7" t="s">
        <v>29</v>
      </c>
      <c r="R33" s="7" t="s">
        <v>31</v>
      </c>
      <c r="S33" s="7" t="s">
        <v>32</v>
      </c>
    </row>
    <row r="34" spans="1:19" x14ac:dyDescent="0.25">
      <c r="A34" s="9">
        <v>5471</v>
      </c>
      <c r="B34" s="9"/>
      <c r="C34" s="10">
        <v>45733.601620370369</v>
      </c>
      <c r="D34" s="6" t="s">
        <v>26</v>
      </c>
      <c r="E34" s="7" t="s">
        <v>27</v>
      </c>
      <c r="F34" s="7" t="str">
        <f t="shared" ref="F34:F65" si="1">+E34</f>
        <v>AGRICOLA Y FORESTAL NAGUILAN S.A.</v>
      </c>
      <c r="G34" s="9" t="s">
        <v>28</v>
      </c>
      <c r="H34" s="7" t="s">
        <v>29</v>
      </c>
      <c r="I34" s="9"/>
      <c r="J34" s="9"/>
      <c r="K34" s="9"/>
      <c r="L34" s="9"/>
      <c r="M34" s="9"/>
      <c r="N34" s="8" t="s">
        <v>30</v>
      </c>
      <c r="O34" s="9"/>
      <c r="P34" s="9">
        <v>39.08</v>
      </c>
      <c r="Q34" s="7" t="s">
        <v>29</v>
      </c>
      <c r="R34" s="7" t="s">
        <v>31</v>
      </c>
      <c r="S34" s="7" t="s">
        <v>32</v>
      </c>
    </row>
    <row r="35" spans="1:19" x14ac:dyDescent="0.25">
      <c r="A35" s="9">
        <v>5472</v>
      </c>
      <c r="B35" s="9"/>
      <c r="C35" s="10">
        <v>45734.314189814817</v>
      </c>
      <c r="D35" s="6" t="s">
        <v>26</v>
      </c>
      <c r="E35" s="7" t="s">
        <v>27</v>
      </c>
      <c r="F35" s="7" t="str">
        <f t="shared" si="1"/>
        <v>AGRICOLA Y FORESTAL NAGUILAN S.A.</v>
      </c>
      <c r="G35" s="9" t="s">
        <v>28</v>
      </c>
      <c r="H35" s="7" t="s">
        <v>29</v>
      </c>
      <c r="I35" s="9"/>
      <c r="J35" s="9"/>
      <c r="K35" s="9"/>
      <c r="L35" s="9"/>
      <c r="M35" s="9"/>
      <c r="N35" s="8" t="s">
        <v>30</v>
      </c>
      <c r="O35" s="9"/>
      <c r="P35" s="9">
        <v>39.323999999999998</v>
      </c>
      <c r="Q35" s="7" t="s">
        <v>29</v>
      </c>
      <c r="R35" s="7" t="s">
        <v>31</v>
      </c>
      <c r="S35" s="7" t="s">
        <v>32</v>
      </c>
    </row>
    <row r="36" spans="1:19" x14ac:dyDescent="0.25">
      <c r="A36" s="9">
        <v>5473</v>
      </c>
      <c r="B36" s="9"/>
      <c r="C36" s="10">
        <v>45734.39571759259</v>
      </c>
      <c r="D36" s="6" t="s">
        <v>26</v>
      </c>
      <c r="E36" s="7" t="s">
        <v>27</v>
      </c>
      <c r="F36" s="7" t="str">
        <f t="shared" si="1"/>
        <v>AGRICOLA Y FORESTAL NAGUILAN S.A.</v>
      </c>
      <c r="G36" s="9" t="s">
        <v>28</v>
      </c>
      <c r="H36" s="7" t="s">
        <v>29</v>
      </c>
      <c r="I36" s="9"/>
      <c r="J36" s="9"/>
      <c r="K36" s="9"/>
      <c r="L36" s="9"/>
      <c r="M36" s="9"/>
      <c r="N36" s="8" t="s">
        <v>30</v>
      </c>
      <c r="O36" s="9"/>
      <c r="P36" s="9">
        <v>39.625999999999998</v>
      </c>
      <c r="Q36" s="7" t="s">
        <v>29</v>
      </c>
      <c r="R36" s="7" t="s">
        <v>31</v>
      </c>
      <c r="S36" s="7" t="s">
        <v>32</v>
      </c>
    </row>
    <row r="37" spans="1:19" x14ac:dyDescent="0.25">
      <c r="A37" s="9">
        <v>5474</v>
      </c>
      <c r="B37" s="9"/>
      <c r="C37" s="10">
        <v>45735.315347222226</v>
      </c>
      <c r="D37" s="6" t="s">
        <v>26</v>
      </c>
      <c r="E37" s="7" t="s">
        <v>27</v>
      </c>
      <c r="F37" s="7" t="str">
        <f t="shared" si="1"/>
        <v>AGRICOLA Y FORESTAL NAGUILAN S.A.</v>
      </c>
      <c r="G37" s="9" t="s">
        <v>28</v>
      </c>
      <c r="H37" s="7" t="s">
        <v>29</v>
      </c>
      <c r="I37" s="9"/>
      <c r="J37" s="9"/>
      <c r="K37" s="9"/>
      <c r="L37" s="9"/>
      <c r="M37" s="9"/>
      <c r="N37" s="8" t="s">
        <v>30</v>
      </c>
      <c r="O37" s="9"/>
      <c r="P37" s="9">
        <v>41.198999999999998</v>
      </c>
      <c r="Q37" s="7" t="s">
        <v>29</v>
      </c>
      <c r="R37" s="7" t="s">
        <v>31</v>
      </c>
      <c r="S37" s="7" t="s">
        <v>32</v>
      </c>
    </row>
    <row r="38" spans="1:19" x14ac:dyDescent="0.25">
      <c r="A38" s="9">
        <v>5475</v>
      </c>
      <c r="B38" s="9"/>
      <c r="C38" s="10">
        <v>45735.403738425928</v>
      </c>
      <c r="D38" s="6" t="s">
        <v>26</v>
      </c>
      <c r="E38" s="7" t="s">
        <v>27</v>
      </c>
      <c r="F38" s="7" t="str">
        <f t="shared" si="1"/>
        <v>AGRICOLA Y FORESTAL NAGUILAN S.A.</v>
      </c>
      <c r="G38" s="9" t="s">
        <v>28</v>
      </c>
      <c r="H38" s="7" t="s">
        <v>29</v>
      </c>
      <c r="I38" s="9"/>
      <c r="J38" s="9"/>
      <c r="K38" s="9"/>
      <c r="L38" s="9"/>
      <c r="M38" s="9"/>
      <c r="N38" s="8" t="s">
        <v>30</v>
      </c>
      <c r="O38" s="9"/>
      <c r="P38" s="9">
        <v>39.865000000000002</v>
      </c>
      <c r="Q38" s="7" t="s">
        <v>29</v>
      </c>
      <c r="R38" s="7" t="s">
        <v>31</v>
      </c>
      <c r="S38" s="7" t="s">
        <v>32</v>
      </c>
    </row>
    <row r="39" spans="1:19" x14ac:dyDescent="0.25">
      <c r="A39" s="9">
        <v>5476</v>
      </c>
      <c r="B39" s="9"/>
      <c r="C39" s="10">
        <v>45735.481678240743</v>
      </c>
      <c r="D39" s="6" t="s">
        <v>26</v>
      </c>
      <c r="E39" s="7" t="s">
        <v>27</v>
      </c>
      <c r="F39" s="7" t="str">
        <f t="shared" si="1"/>
        <v>AGRICOLA Y FORESTAL NAGUILAN S.A.</v>
      </c>
      <c r="G39" s="9" t="s">
        <v>28</v>
      </c>
      <c r="H39" s="7" t="s">
        <v>29</v>
      </c>
      <c r="I39" s="9"/>
      <c r="J39" s="9"/>
      <c r="K39" s="9"/>
      <c r="L39" s="9"/>
      <c r="M39" s="9"/>
      <c r="N39" s="8" t="s">
        <v>30</v>
      </c>
      <c r="O39" s="9"/>
      <c r="P39" s="9">
        <v>38.445</v>
      </c>
      <c r="Q39" s="7" t="s">
        <v>29</v>
      </c>
      <c r="R39" s="7" t="s">
        <v>31</v>
      </c>
      <c r="S39" s="7" t="s">
        <v>32</v>
      </c>
    </row>
    <row r="40" spans="1:19" x14ac:dyDescent="0.25">
      <c r="A40" s="9">
        <v>5477</v>
      </c>
      <c r="B40" s="9"/>
      <c r="C40" s="10">
        <v>45736.526516203703</v>
      </c>
      <c r="D40" s="6" t="s">
        <v>26</v>
      </c>
      <c r="E40" s="7" t="s">
        <v>27</v>
      </c>
      <c r="F40" s="7" t="str">
        <f t="shared" si="1"/>
        <v>AGRICOLA Y FORESTAL NAGUILAN S.A.</v>
      </c>
      <c r="G40" s="9" t="s">
        <v>28</v>
      </c>
      <c r="H40" s="7" t="s">
        <v>29</v>
      </c>
      <c r="I40" s="9"/>
      <c r="J40" s="9"/>
      <c r="K40" s="9"/>
      <c r="L40" s="9"/>
      <c r="M40" s="9"/>
      <c r="N40" s="8" t="s">
        <v>30</v>
      </c>
      <c r="O40" s="9"/>
      <c r="P40" s="9">
        <v>39.661999999999999</v>
      </c>
      <c r="Q40" s="7" t="s">
        <v>29</v>
      </c>
      <c r="R40" s="7" t="s">
        <v>31</v>
      </c>
      <c r="S40" s="7" t="s">
        <v>32</v>
      </c>
    </row>
    <row r="41" spans="1:19" x14ac:dyDescent="0.25">
      <c r="A41" s="9">
        <v>5478</v>
      </c>
      <c r="B41" s="9"/>
      <c r="C41" s="10">
        <v>45736.607037037036</v>
      </c>
      <c r="D41" s="6" t="s">
        <v>26</v>
      </c>
      <c r="E41" s="7" t="s">
        <v>27</v>
      </c>
      <c r="F41" s="7" t="str">
        <f t="shared" si="1"/>
        <v>AGRICOLA Y FORESTAL NAGUILAN S.A.</v>
      </c>
      <c r="G41" s="9" t="s">
        <v>28</v>
      </c>
      <c r="H41" s="7" t="s">
        <v>29</v>
      </c>
      <c r="I41" s="9"/>
      <c r="J41" s="9"/>
      <c r="K41" s="9"/>
      <c r="L41" s="9"/>
      <c r="M41" s="9"/>
      <c r="N41" s="8" t="s">
        <v>30</v>
      </c>
      <c r="O41" s="9"/>
      <c r="P41" s="9">
        <v>41.381</v>
      </c>
      <c r="Q41" s="7" t="s">
        <v>29</v>
      </c>
      <c r="R41" s="7" t="s">
        <v>31</v>
      </c>
      <c r="S41" s="7" t="s">
        <v>32</v>
      </c>
    </row>
    <row r="42" spans="1:19" x14ac:dyDescent="0.25">
      <c r="A42" s="9">
        <v>5479</v>
      </c>
      <c r="B42" s="9"/>
      <c r="C42" s="10">
        <v>45737.319849537038</v>
      </c>
      <c r="D42" s="6" t="s">
        <v>26</v>
      </c>
      <c r="E42" s="7" t="s">
        <v>27</v>
      </c>
      <c r="F42" s="7" t="str">
        <f t="shared" si="1"/>
        <v>AGRICOLA Y FORESTAL NAGUILAN S.A.</v>
      </c>
      <c r="G42" s="9" t="s">
        <v>28</v>
      </c>
      <c r="H42" s="7" t="s">
        <v>29</v>
      </c>
      <c r="I42" s="9"/>
      <c r="J42" s="9"/>
      <c r="K42" s="9"/>
      <c r="L42" s="9"/>
      <c r="M42" s="9"/>
      <c r="N42" s="8" t="s">
        <v>30</v>
      </c>
      <c r="O42" s="9"/>
      <c r="P42" s="9">
        <v>42.000999999999998</v>
      </c>
      <c r="Q42" s="7" t="s">
        <v>29</v>
      </c>
      <c r="R42" s="7" t="s">
        <v>31</v>
      </c>
      <c r="S42" s="7" t="s">
        <v>32</v>
      </c>
    </row>
    <row r="43" spans="1:19" x14ac:dyDescent="0.25">
      <c r="A43" s="9">
        <v>5480</v>
      </c>
      <c r="B43" s="9"/>
      <c r="C43" s="10">
        <v>45737.445891203701</v>
      </c>
      <c r="D43" s="6" t="s">
        <v>26</v>
      </c>
      <c r="E43" s="7" t="s">
        <v>27</v>
      </c>
      <c r="F43" s="7" t="str">
        <f t="shared" si="1"/>
        <v>AGRICOLA Y FORESTAL NAGUILAN S.A.</v>
      </c>
      <c r="G43" s="9" t="s">
        <v>28</v>
      </c>
      <c r="H43" s="7" t="s">
        <v>29</v>
      </c>
      <c r="I43" s="9"/>
      <c r="J43" s="9"/>
      <c r="K43" s="9"/>
      <c r="L43" s="9"/>
      <c r="M43" s="9"/>
      <c r="N43" s="8" t="s">
        <v>30</v>
      </c>
      <c r="O43" s="9"/>
      <c r="P43" s="9">
        <v>41.097999999999999</v>
      </c>
      <c r="Q43" s="7" t="s">
        <v>29</v>
      </c>
      <c r="R43" s="7" t="s">
        <v>31</v>
      </c>
      <c r="S43" s="7" t="s">
        <v>32</v>
      </c>
    </row>
    <row r="44" spans="1:19" x14ac:dyDescent="0.25">
      <c r="A44" s="9">
        <v>5481</v>
      </c>
      <c r="B44" s="9"/>
      <c r="C44" s="10">
        <v>45740.317465277774</v>
      </c>
      <c r="D44" s="6" t="s">
        <v>26</v>
      </c>
      <c r="E44" s="7" t="s">
        <v>27</v>
      </c>
      <c r="F44" s="7" t="str">
        <f t="shared" si="1"/>
        <v>AGRICOLA Y FORESTAL NAGUILAN S.A.</v>
      </c>
      <c r="G44" s="9" t="s">
        <v>28</v>
      </c>
      <c r="H44" s="7" t="s">
        <v>29</v>
      </c>
      <c r="I44" s="9"/>
      <c r="J44" s="9"/>
      <c r="K44" s="9"/>
      <c r="L44" s="9"/>
      <c r="M44" s="9"/>
      <c r="N44" s="8" t="s">
        <v>30</v>
      </c>
      <c r="O44" s="9"/>
      <c r="P44" s="9">
        <v>40.552999999999997</v>
      </c>
      <c r="Q44" s="7" t="s">
        <v>29</v>
      </c>
      <c r="R44" s="7" t="s">
        <v>31</v>
      </c>
      <c r="S44" s="7" t="s">
        <v>32</v>
      </c>
    </row>
    <row r="45" spans="1:19" x14ac:dyDescent="0.25">
      <c r="A45" s="9">
        <v>5482</v>
      </c>
      <c r="B45" s="9"/>
      <c r="C45" s="10">
        <v>45740.53125</v>
      </c>
      <c r="D45" s="6" t="s">
        <v>26</v>
      </c>
      <c r="E45" s="7" t="s">
        <v>27</v>
      </c>
      <c r="F45" s="7" t="str">
        <f t="shared" si="1"/>
        <v>AGRICOLA Y FORESTAL NAGUILAN S.A.</v>
      </c>
      <c r="G45" s="9" t="s">
        <v>28</v>
      </c>
      <c r="H45" s="7" t="s">
        <v>29</v>
      </c>
      <c r="I45" s="9"/>
      <c r="J45" s="9"/>
      <c r="K45" s="9"/>
      <c r="L45" s="9"/>
      <c r="M45" s="9"/>
      <c r="N45" s="8" t="s">
        <v>30</v>
      </c>
      <c r="O45" s="9"/>
      <c r="P45" s="9">
        <v>39.335999999999999</v>
      </c>
      <c r="Q45" s="7" t="s">
        <v>29</v>
      </c>
      <c r="R45" s="7" t="s">
        <v>31</v>
      </c>
      <c r="S45" s="7" t="s">
        <v>32</v>
      </c>
    </row>
    <row r="46" spans="1:19" x14ac:dyDescent="0.25">
      <c r="A46" s="9">
        <v>5483</v>
      </c>
      <c r="B46" s="9"/>
      <c r="C46" s="10">
        <v>45740.626770833333</v>
      </c>
      <c r="D46" s="6" t="s">
        <v>26</v>
      </c>
      <c r="E46" s="7" t="s">
        <v>27</v>
      </c>
      <c r="F46" s="7" t="str">
        <f t="shared" si="1"/>
        <v>AGRICOLA Y FORESTAL NAGUILAN S.A.</v>
      </c>
      <c r="G46" s="9" t="s">
        <v>28</v>
      </c>
      <c r="H46" s="7" t="s">
        <v>29</v>
      </c>
      <c r="I46" s="9"/>
      <c r="J46" s="9"/>
      <c r="K46" s="9"/>
      <c r="L46" s="9"/>
      <c r="M46" s="9"/>
      <c r="N46" s="8" t="s">
        <v>30</v>
      </c>
      <c r="O46" s="9"/>
      <c r="P46" s="9">
        <v>39.79</v>
      </c>
      <c r="Q46" s="7" t="s">
        <v>29</v>
      </c>
      <c r="R46" s="7" t="s">
        <v>31</v>
      </c>
      <c r="S46" s="7" t="s">
        <v>32</v>
      </c>
    </row>
    <row r="47" spans="1:19" x14ac:dyDescent="0.25">
      <c r="A47" s="9">
        <v>5484</v>
      </c>
      <c r="B47" s="9"/>
      <c r="C47" s="10">
        <v>45741.317870370367</v>
      </c>
      <c r="D47" s="6" t="s">
        <v>26</v>
      </c>
      <c r="E47" s="7" t="s">
        <v>27</v>
      </c>
      <c r="F47" s="7" t="str">
        <f t="shared" si="1"/>
        <v>AGRICOLA Y FORESTAL NAGUILAN S.A.</v>
      </c>
      <c r="G47" s="9" t="s">
        <v>28</v>
      </c>
      <c r="H47" s="7" t="s">
        <v>29</v>
      </c>
      <c r="I47" s="9"/>
      <c r="J47" s="9"/>
      <c r="K47" s="9"/>
      <c r="L47" s="9"/>
      <c r="M47" s="9"/>
      <c r="N47" s="8" t="s">
        <v>30</v>
      </c>
      <c r="O47" s="9"/>
      <c r="P47" s="9">
        <v>38.103999999999999</v>
      </c>
      <c r="Q47" s="7" t="s">
        <v>29</v>
      </c>
      <c r="R47" s="7" t="s">
        <v>31</v>
      </c>
      <c r="S47" s="7" t="s">
        <v>32</v>
      </c>
    </row>
    <row r="48" spans="1:19" x14ac:dyDescent="0.25">
      <c r="A48" s="9">
        <v>5485</v>
      </c>
      <c r="B48" s="9"/>
      <c r="C48" s="10">
        <v>45741.401967592596</v>
      </c>
      <c r="D48" s="6" t="s">
        <v>26</v>
      </c>
      <c r="E48" s="7" t="s">
        <v>27</v>
      </c>
      <c r="F48" s="7" t="str">
        <f t="shared" si="1"/>
        <v>AGRICOLA Y FORESTAL NAGUILAN S.A.</v>
      </c>
      <c r="G48" s="9" t="s">
        <v>28</v>
      </c>
      <c r="H48" s="7" t="s">
        <v>29</v>
      </c>
      <c r="I48" s="9"/>
      <c r="J48" s="9"/>
      <c r="K48" s="9"/>
      <c r="L48" s="9"/>
      <c r="M48" s="9"/>
      <c r="N48" s="8" t="s">
        <v>30</v>
      </c>
      <c r="O48" s="9"/>
      <c r="P48" s="9">
        <v>39.872999999999998</v>
      </c>
      <c r="Q48" s="7" t="s">
        <v>29</v>
      </c>
      <c r="R48" s="7" t="s">
        <v>31</v>
      </c>
      <c r="S48" s="7" t="s">
        <v>32</v>
      </c>
    </row>
    <row r="49" spans="1:19" x14ac:dyDescent="0.25">
      <c r="A49" s="9">
        <v>5486</v>
      </c>
      <c r="B49" s="9"/>
      <c r="C49" s="10">
        <v>45741.481712962966</v>
      </c>
      <c r="D49" s="6" t="s">
        <v>26</v>
      </c>
      <c r="E49" s="7" t="s">
        <v>27</v>
      </c>
      <c r="F49" s="7" t="str">
        <f t="shared" si="1"/>
        <v>AGRICOLA Y FORESTAL NAGUILAN S.A.</v>
      </c>
      <c r="G49" s="9" t="s">
        <v>28</v>
      </c>
      <c r="H49" s="7" t="s">
        <v>29</v>
      </c>
      <c r="I49" s="9"/>
      <c r="J49" s="9"/>
      <c r="K49" s="9"/>
      <c r="L49" s="9"/>
      <c r="M49" s="9"/>
      <c r="N49" s="8" t="s">
        <v>30</v>
      </c>
      <c r="O49" s="9"/>
      <c r="P49" s="9">
        <v>41.006999999999998</v>
      </c>
      <c r="Q49" s="7" t="s">
        <v>29</v>
      </c>
      <c r="R49" s="7" t="s">
        <v>31</v>
      </c>
      <c r="S49" s="7" t="s">
        <v>32</v>
      </c>
    </row>
    <row r="50" spans="1:19" x14ac:dyDescent="0.25">
      <c r="A50" s="9">
        <v>5487</v>
      </c>
      <c r="B50" s="9"/>
      <c r="C50" s="10">
        <v>45742.314837962964</v>
      </c>
      <c r="D50" s="6" t="s">
        <v>26</v>
      </c>
      <c r="E50" s="7" t="s">
        <v>27</v>
      </c>
      <c r="F50" s="7" t="str">
        <f t="shared" si="1"/>
        <v>AGRICOLA Y FORESTAL NAGUILAN S.A.</v>
      </c>
      <c r="G50" s="9" t="s">
        <v>28</v>
      </c>
      <c r="H50" s="7" t="s">
        <v>29</v>
      </c>
      <c r="I50" s="9"/>
      <c r="J50" s="9"/>
      <c r="K50" s="9"/>
      <c r="L50" s="9"/>
      <c r="M50" s="9"/>
      <c r="N50" s="8" t="s">
        <v>30</v>
      </c>
      <c r="O50" s="9"/>
      <c r="P50" s="9">
        <v>39.85</v>
      </c>
      <c r="Q50" s="7" t="s">
        <v>29</v>
      </c>
      <c r="R50" s="7" t="s">
        <v>31</v>
      </c>
      <c r="S50" s="7" t="s">
        <v>32</v>
      </c>
    </row>
    <row r="51" spans="1:19" x14ac:dyDescent="0.25">
      <c r="A51" s="9">
        <v>5488</v>
      </c>
      <c r="B51" s="9"/>
      <c r="C51" s="10">
        <v>45742.404664351852</v>
      </c>
      <c r="D51" s="6" t="s">
        <v>26</v>
      </c>
      <c r="E51" s="7" t="s">
        <v>27</v>
      </c>
      <c r="F51" s="7" t="str">
        <f t="shared" si="1"/>
        <v>AGRICOLA Y FORESTAL NAGUILAN S.A.</v>
      </c>
      <c r="G51" s="9" t="s">
        <v>28</v>
      </c>
      <c r="H51" s="7" t="s">
        <v>29</v>
      </c>
      <c r="I51" s="9"/>
      <c r="J51" s="9"/>
      <c r="K51" s="9"/>
      <c r="L51" s="9"/>
      <c r="M51" s="9"/>
      <c r="N51" s="8" t="s">
        <v>30</v>
      </c>
      <c r="O51" s="9"/>
      <c r="P51" s="9">
        <v>31.143999999999998</v>
      </c>
      <c r="Q51" s="7" t="s">
        <v>29</v>
      </c>
      <c r="R51" s="7" t="s">
        <v>31</v>
      </c>
      <c r="S51" s="7" t="s">
        <v>32</v>
      </c>
    </row>
    <row r="52" spans="1:19" x14ac:dyDescent="0.25">
      <c r="A52" s="9">
        <v>5489</v>
      </c>
      <c r="B52" s="9"/>
      <c r="C52" s="10">
        <v>45742.51462962963</v>
      </c>
      <c r="D52" s="6" t="s">
        <v>26</v>
      </c>
      <c r="E52" s="7" t="s">
        <v>27</v>
      </c>
      <c r="F52" s="7" t="str">
        <f t="shared" si="1"/>
        <v>AGRICOLA Y FORESTAL NAGUILAN S.A.</v>
      </c>
      <c r="G52" s="9" t="s">
        <v>28</v>
      </c>
      <c r="H52" s="7" t="s">
        <v>29</v>
      </c>
      <c r="I52" s="9"/>
      <c r="J52" s="9"/>
      <c r="K52" s="9"/>
      <c r="L52" s="9"/>
      <c r="M52" s="9"/>
      <c r="N52" s="8" t="s">
        <v>30</v>
      </c>
      <c r="O52" s="9"/>
      <c r="P52" s="9">
        <v>41.241</v>
      </c>
      <c r="Q52" s="7" t="s">
        <v>29</v>
      </c>
      <c r="R52" s="7" t="s">
        <v>31</v>
      </c>
      <c r="S52" s="7" t="s">
        <v>32</v>
      </c>
    </row>
    <row r="53" spans="1:19" x14ac:dyDescent="0.25">
      <c r="A53" s="9">
        <v>5490</v>
      </c>
      <c r="B53" s="9"/>
      <c r="C53" s="10">
        <v>45742.624409722222</v>
      </c>
      <c r="D53" s="6" t="s">
        <v>26</v>
      </c>
      <c r="E53" s="7" t="s">
        <v>27</v>
      </c>
      <c r="F53" s="7" t="str">
        <f t="shared" si="1"/>
        <v>AGRICOLA Y FORESTAL NAGUILAN S.A.</v>
      </c>
      <c r="G53" s="9" t="s">
        <v>28</v>
      </c>
      <c r="H53" s="7" t="s">
        <v>29</v>
      </c>
      <c r="I53" s="9"/>
      <c r="J53" s="9"/>
      <c r="K53" s="9"/>
      <c r="L53" s="9"/>
      <c r="M53" s="9"/>
      <c r="N53" s="8" t="s">
        <v>30</v>
      </c>
      <c r="O53" s="9"/>
      <c r="P53" s="9">
        <v>40.831000000000003</v>
      </c>
      <c r="Q53" s="7" t="s">
        <v>29</v>
      </c>
      <c r="R53" s="7" t="s">
        <v>31</v>
      </c>
      <c r="S53" s="7" t="s">
        <v>32</v>
      </c>
    </row>
    <row r="54" spans="1:19" x14ac:dyDescent="0.25">
      <c r="A54" s="9">
        <v>5491</v>
      </c>
      <c r="B54" s="9"/>
      <c r="C54" s="10">
        <v>45743.312569444446</v>
      </c>
      <c r="D54" s="6" t="s">
        <v>26</v>
      </c>
      <c r="E54" s="7" t="s">
        <v>27</v>
      </c>
      <c r="F54" s="7" t="str">
        <f t="shared" si="1"/>
        <v>AGRICOLA Y FORESTAL NAGUILAN S.A.</v>
      </c>
      <c r="G54" s="9" t="s">
        <v>28</v>
      </c>
      <c r="H54" s="7" t="s">
        <v>29</v>
      </c>
      <c r="I54" s="9"/>
      <c r="J54" s="9"/>
      <c r="K54" s="9"/>
      <c r="L54" s="9"/>
      <c r="M54" s="9"/>
      <c r="N54" s="8" t="s">
        <v>30</v>
      </c>
      <c r="O54" s="9"/>
      <c r="P54" s="9">
        <v>41.238</v>
      </c>
      <c r="Q54" s="7" t="s">
        <v>29</v>
      </c>
      <c r="R54" s="7" t="s">
        <v>31</v>
      </c>
      <c r="S54" s="7" t="s">
        <v>32</v>
      </c>
    </row>
    <row r="55" spans="1:19" x14ac:dyDescent="0.25">
      <c r="A55" s="9">
        <v>5492</v>
      </c>
      <c r="B55" s="9"/>
      <c r="C55" s="10">
        <v>45743.407071759262</v>
      </c>
      <c r="D55" s="6" t="s">
        <v>26</v>
      </c>
      <c r="E55" s="7" t="s">
        <v>27</v>
      </c>
      <c r="F55" s="7" t="str">
        <f t="shared" si="1"/>
        <v>AGRICOLA Y FORESTAL NAGUILAN S.A.</v>
      </c>
      <c r="G55" s="9" t="s">
        <v>28</v>
      </c>
      <c r="H55" s="7" t="s">
        <v>29</v>
      </c>
      <c r="I55" s="9"/>
      <c r="J55" s="9"/>
      <c r="K55" s="9"/>
      <c r="L55" s="9"/>
      <c r="M55" s="9"/>
      <c r="N55" s="8" t="s">
        <v>30</v>
      </c>
      <c r="O55" s="9"/>
      <c r="P55" s="9">
        <v>40.628</v>
      </c>
      <c r="Q55" s="7" t="s">
        <v>29</v>
      </c>
      <c r="R55" s="7" t="s">
        <v>31</v>
      </c>
      <c r="S55" s="7" t="s">
        <v>32</v>
      </c>
    </row>
    <row r="56" spans="1:19" x14ac:dyDescent="0.25">
      <c r="A56" s="9">
        <v>5493</v>
      </c>
      <c r="B56" s="9"/>
      <c r="C56" s="10">
        <v>45743.495092592595</v>
      </c>
      <c r="D56" s="6" t="s">
        <v>26</v>
      </c>
      <c r="E56" s="7" t="s">
        <v>27</v>
      </c>
      <c r="F56" s="7" t="str">
        <f t="shared" si="1"/>
        <v>AGRICOLA Y FORESTAL NAGUILAN S.A.</v>
      </c>
      <c r="G56" s="9" t="s">
        <v>28</v>
      </c>
      <c r="H56" s="7" t="s">
        <v>29</v>
      </c>
      <c r="I56" s="9"/>
      <c r="J56" s="9"/>
      <c r="K56" s="9"/>
      <c r="L56" s="9"/>
      <c r="M56" s="9"/>
      <c r="N56" s="8" t="s">
        <v>30</v>
      </c>
      <c r="O56" s="9"/>
      <c r="P56" s="9">
        <v>39.978999999999999</v>
      </c>
      <c r="Q56" s="7" t="s">
        <v>29</v>
      </c>
      <c r="R56" s="7" t="s">
        <v>31</v>
      </c>
      <c r="S56" s="7" t="s">
        <v>32</v>
      </c>
    </row>
    <row r="57" spans="1:19" x14ac:dyDescent="0.25">
      <c r="A57" s="9">
        <v>5494</v>
      </c>
      <c r="B57" s="9"/>
      <c r="C57" s="10">
        <v>45743.624606481484</v>
      </c>
      <c r="D57" s="6" t="s">
        <v>26</v>
      </c>
      <c r="E57" s="7" t="s">
        <v>27</v>
      </c>
      <c r="F57" s="7" t="str">
        <f t="shared" si="1"/>
        <v>AGRICOLA Y FORESTAL NAGUILAN S.A.</v>
      </c>
      <c r="G57" s="9" t="s">
        <v>28</v>
      </c>
      <c r="H57" s="7" t="s">
        <v>29</v>
      </c>
      <c r="I57" s="9"/>
      <c r="J57" s="9"/>
      <c r="K57" s="9"/>
      <c r="L57" s="9"/>
      <c r="M57" s="9"/>
      <c r="N57" s="8" t="s">
        <v>30</v>
      </c>
      <c r="O57" s="9"/>
      <c r="P57" s="9">
        <v>40.674999999999997</v>
      </c>
      <c r="Q57" s="7" t="s">
        <v>29</v>
      </c>
      <c r="R57" s="7" t="s">
        <v>31</v>
      </c>
      <c r="S57" s="7" t="s">
        <v>32</v>
      </c>
    </row>
    <row r="58" spans="1:19" x14ac:dyDescent="0.25">
      <c r="A58" s="9">
        <v>5495</v>
      </c>
      <c r="B58" s="9"/>
      <c r="C58" s="10">
        <v>45744.319791666669</v>
      </c>
      <c r="D58" s="6" t="s">
        <v>26</v>
      </c>
      <c r="E58" s="7" t="s">
        <v>27</v>
      </c>
      <c r="F58" s="7" t="str">
        <f t="shared" si="1"/>
        <v>AGRICOLA Y FORESTAL NAGUILAN S.A.</v>
      </c>
      <c r="G58" s="9" t="s">
        <v>28</v>
      </c>
      <c r="H58" s="7" t="s">
        <v>29</v>
      </c>
      <c r="I58" s="9"/>
      <c r="J58" s="9"/>
      <c r="K58" s="9"/>
      <c r="L58" s="9"/>
      <c r="M58" s="9"/>
      <c r="N58" s="8" t="s">
        <v>30</v>
      </c>
      <c r="O58" s="9"/>
      <c r="P58" s="9">
        <v>37.286999999999999</v>
      </c>
      <c r="Q58" s="7" t="s">
        <v>29</v>
      </c>
      <c r="R58" s="7" t="s">
        <v>31</v>
      </c>
      <c r="S58" s="7" t="s">
        <v>32</v>
      </c>
    </row>
    <row r="59" spans="1:19" x14ac:dyDescent="0.25">
      <c r="A59" s="9">
        <v>5496</v>
      </c>
      <c r="B59" s="9"/>
      <c r="C59" s="10">
        <v>45744.410219907404</v>
      </c>
      <c r="D59" s="6" t="s">
        <v>26</v>
      </c>
      <c r="E59" s="7" t="s">
        <v>27</v>
      </c>
      <c r="F59" s="7" t="str">
        <f t="shared" si="1"/>
        <v>AGRICOLA Y FORESTAL NAGUILAN S.A.</v>
      </c>
      <c r="G59" s="9" t="s">
        <v>28</v>
      </c>
      <c r="H59" s="7" t="s">
        <v>29</v>
      </c>
      <c r="I59" s="9"/>
      <c r="J59" s="9"/>
      <c r="K59" s="9"/>
      <c r="L59" s="9"/>
      <c r="M59" s="9"/>
      <c r="N59" s="8" t="s">
        <v>30</v>
      </c>
      <c r="O59" s="9"/>
      <c r="P59" s="9">
        <v>38.027000000000001</v>
      </c>
      <c r="Q59" s="7" t="s">
        <v>29</v>
      </c>
      <c r="R59" s="7" t="s">
        <v>31</v>
      </c>
      <c r="S59" s="7" t="s">
        <v>32</v>
      </c>
    </row>
    <row r="60" spans="1:19" x14ac:dyDescent="0.25">
      <c r="P60">
        <f>SUM(P2:P59)</f>
        <v>2305.3759999999997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6"/>
  <sheetViews>
    <sheetView tabSelected="1" workbookViewId="0">
      <selection sqref="A1:X66"/>
    </sheetView>
  </sheetViews>
  <sheetFormatPr baseColWidth="10" defaultRowHeight="15" x14ac:dyDescent="0.25"/>
  <cols>
    <col min="2" max="2" width="16.5703125" customWidth="1"/>
    <col min="3" max="4" width="33.28515625" bestFit="1" customWidth="1"/>
    <col min="5" max="5" width="15.85546875" customWidth="1"/>
    <col min="9" max="10" width="15" customWidth="1"/>
    <col min="11" max="11" width="26.7109375" customWidth="1"/>
    <col min="12" max="12" width="16.42578125" customWidth="1"/>
    <col min="13" max="13" width="30.85546875" customWidth="1"/>
    <col min="14" max="14" width="11.7109375" customWidth="1"/>
    <col min="16" max="16" width="19.85546875" customWidth="1"/>
    <col min="17" max="17" width="12.140625" customWidth="1"/>
    <col min="18" max="18" width="22" customWidth="1"/>
    <col min="19" max="19" width="18.28515625" customWidth="1"/>
    <col min="21" max="21" width="31.140625" customWidth="1"/>
    <col min="22" max="22" width="18.85546875" customWidth="1"/>
    <col min="23" max="23" width="34.42578125" customWidth="1"/>
    <col min="24" max="24" width="32.7109375" customWidth="1"/>
  </cols>
  <sheetData>
    <row r="1" spans="1:25" s="4" customFormat="1" ht="45.75" customHeight="1" x14ac:dyDescent="0.2">
      <c r="A1" s="11" t="s">
        <v>0</v>
      </c>
      <c r="B1" s="11" t="s">
        <v>2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2" t="s">
        <v>15</v>
      </c>
      <c r="O1" s="12" t="s">
        <v>16</v>
      </c>
      <c r="P1" s="11" t="s">
        <v>17</v>
      </c>
      <c r="Q1" s="11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3"/>
    </row>
    <row r="2" spans="1:25" x14ac:dyDescent="0.25">
      <c r="A2" s="9">
        <v>5497</v>
      </c>
      <c r="B2" s="10">
        <v>45748.315162037034</v>
      </c>
      <c r="C2" s="7" t="s">
        <v>27</v>
      </c>
      <c r="D2" s="7" t="str">
        <f t="shared" ref="D2:D33" si="0">+C2</f>
        <v>AGRICOLA Y FORESTAL NAGUILAN S.A.</v>
      </c>
      <c r="E2" s="9" t="s">
        <v>28</v>
      </c>
      <c r="F2" s="7" t="s">
        <v>29</v>
      </c>
      <c r="G2" s="9"/>
      <c r="H2" s="9"/>
      <c r="I2" s="9"/>
      <c r="J2" s="9"/>
      <c r="K2" s="9"/>
      <c r="L2" s="8" t="s">
        <v>30</v>
      </c>
      <c r="M2" s="9"/>
      <c r="N2" s="9">
        <v>39.662999999999997</v>
      </c>
      <c r="O2" s="9"/>
      <c r="P2" s="10"/>
      <c r="Q2" s="9"/>
      <c r="R2" s="10"/>
      <c r="S2" s="7" t="s">
        <v>29</v>
      </c>
      <c r="T2" s="5"/>
      <c r="U2" s="5"/>
      <c r="V2" s="5"/>
      <c r="W2" s="7" t="s">
        <v>31</v>
      </c>
      <c r="X2" s="7" t="s">
        <v>32</v>
      </c>
    </row>
    <row r="3" spans="1:25" x14ac:dyDescent="0.25">
      <c r="A3" s="9">
        <v>5498</v>
      </c>
      <c r="B3" s="10">
        <v>45748.408090277779</v>
      </c>
      <c r="C3" s="7" t="s">
        <v>27</v>
      </c>
      <c r="D3" s="7" t="str">
        <f t="shared" si="0"/>
        <v>AGRICOLA Y FORESTAL NAGUILAN S.A.</v>
      </c>
      <c r="E3" s="9" t="s">
        <v>28</v>
      </c>
      <c r="F3" s="7" t="s">
        <v>29</v>
      </c>
      <c r="G3" s="9"/>
      <c r="H3" s="9"/>
      <c r="I3" s="9"/>
      <c r="J3" s="9"/>
      <c r="K3" s="9"/>
      <c r="L3" s="8" t="s">
        <v>30</v>
      </c>
      <c r="M3" s="9"/>
      <c r="N3" s="9">
        <v>39.417000000000002</v>
      </c>
      <c r="O3" s="9"/>
      <c r="P3" s="10"/>
      <c r="Q3" s="9"/>
      <c r="R3" s="10"/>
      <c r="S3" s="7" t="s">
        <v>29</v>
      </c>
      <c r="T3" s="5"/>
      <c r="U3" s="5"/>
      <c r="V3" s="5"/>
      <c r="W3" s="7" t="s">
        <v>31</v>
      </c>
      <c r="X3" s="7" t="s">
        <v>32</v>
      </c>
    </row>
    <row r="4" spans="1:25" x14ac:dyDescent="0.25">
      <c r="A4" s="9">
        <v>5499</v>
      </c>
      <c r="B4" s="10">
        <v>45748.496296296296</v>
      </c>
      <c r="C4" s="7" t="s">
        <v>27</v>
      </c>
      <c r="D4" s="7" t="str">
        <f t="shared" si="0"/>
        <v>AGRICOLA Y FORESTAL NAGUILAN S.A.</v>
      </c>
      <c r="E4" s="9" t="s">
        <v>28</v>
      </c>
      <c r="F4" s="7" t="s">
        <v>29</v>
      </c>
      <c r="G4" s="9"/>
      <c r="H4" s="9"/>
      <c r="I4" s="9"/>
      <c r="J4" s="9"/>
      <c r="K4" s="9"/>
      <c r="L4" s="8" t="s">
        <v>30</v>
      </c>
      <c r="M4" s="9"/>
      <c r="N4" s="9">
        <v>39.859000000000002</v>
      </c>
      <c r="O4" s="9"/>
      <c r="P4" s="10"/>
      <c r="Q4" s="9"/>
      <c r="R4" s="10"/>
      <c r="S4" s="7" t="s">
        <v>29</v>
      </c>
      <c r="T4" s="5"/>
      <c r="U4" s="5"/>
      <c r="V4" s="5"/>
      <c r="W4" s="7" t="s">
        <v>31</v>
      </c>
      <c r="X4" s="7" t="s">
        <v>32</v>
      </c>
    </row>
    <row r="5" spans="1:25" x14ac:dyDescent="0.25">
      <c r="A5" s="9">
        <v>5500</v>
      </c>
      <c r="B5" s="10">
        <v>45748.629270833335</v>
      </c>
      <c r="C5" s="7" t="s">
        <v>27</v>
      </c>
      <c r="D5" s="7" t="str">
        <f t="shared" si="0"/>
        <v>AGRICOLA Y FORESTAL NAGUILAN S.A.</v>
      </c>
      <c r="E5" s="9" t="s">
        <v>28</v>
      </c>
      <c r="F5" s="7" t="s">
        <v>29</v>
      </c>
      <c r="G5" s="9"/>
      <c r="H5" s="9"/>
      <c r="I5" s="9"/>
      <c r="J5" s="9"/>
      <c r="K5" s="9"/>
      <c r="L5" s="8" t="s">
        <v>30</v>
      </c>
      <c r="M5" s="9"/>
      <c r="N5" s="9">
        <v>40.411999999999999</v>
      </c>
      <c r="O5" s="9"/>
      <c r="P5" s="10"/>
      <c r="Q5" s="9"/>
      <c r="R5" s="10"/>
      <c r="S5" s="7" t="s">
        <v>29</v>
      </c>
      <c r="T5" s="5"/>
      <c r="U5" s="5"/>
      <c r="V5" s="5"/>
      <c r="W5" s="7" t="s">
        <v>31</v>
      </c>
      <c r="X5" s="7" t="s">
        <v>32</v>
      </c>
    </row>
    <row r="6" spans="1:25" x14ac:dyDescent="0.25">
      <c r="A6" s="9">
        <v>5501</v>
      </c>
      <c r="B6" s="10">
        <v>45749.31521990741</v>
      </c>
      <c r="C6" s="7" t="s">
        <v>27</v>
      </c>
      <c r="D6" s="7" t="str">
        <f t="shared" si="0"/>
        <v>AGRICOLA Y FORESTAL NAGUILAN S.A.</v>
      </c>
      <c r="E6" s="9" t="s">
        <v>28</v>
      </c>
      <c r="F6" s="7" t="s">
        <v>29</v>
      </c>
      <c r="G6" s="9"/>
      <c r="H6" s="9"/>
      <c r="I6" s="9"/>
      <c r="J6" s="9"/>
      <c r="K6" s="9"/>
      <c r="L6" s="8" t="s">
        <v>30</v>
      </c>
      <c r="M6" s="9"/>
      <c r="N6" s="9">
        <v>41.024999999999999</v>
      </c>
      <c r="O6" s="9"/>
      <c r="P6" s="10"/>
      <c r="Q6" s="9"/>
      <c r="R6" s="10"/>
      <c r="S6" s="7" t="s">
        <v>29</v>
      </c>
      <c r="T6" s="5"/>
      <c r="U6" s="5"/>
      <c r="V6" s="5"/>
      <c r="W6" s="7" t="s">
        <v>31</v>
      </c>
      <c r="X6" s="7" t="s">
        <v>32</v>
      </c>
    </row>
    <row r="7" spans="1:25" x14ac:dyDescent="0.25">
      <c r="A7" s="9">
        <v>5503</v>
      </c>
      <c r="B7" s="10">
        <v>45749.319675925923</v>
      </c>
      <c r="C7" s="7" t="s">
        <v>27</v>
      </c>
      <c r="D7" s="7" t="str">
        <f t="shared" si="0"/>
        <v>AGRICOLA Y FORESTAL NAGUILAN S.A.</v>
      </c>
      <c r="E7" s="9" t="s">
        <v>28</v>
      </c>
      <c r="F7" s="7" t="s">
        <v>29</v>
      </c>
      <c r="G7" s="9"/>
      <c r="H7" s="9"/>
      <c r="I7" s="9"/>
      <c r="J7" s="9"/>
      <c r="K7" s="9"/>
      <c r="L7" s="8" t="s">
        <v>30</v>
      </c>
      <c r="M7" s="9"/>
      <c r="N7" s="9">
        <v>34.220999999999997</v>
      </c>
      <c r="O7" s="9"/>
      <c r="P7" s="10"/>
      <c r="Q7" s="9"/>
      <c r="R7" s="10"/>
      <c r="S7" s="7" t="s">
        <v>29</v>
      </c>
      <c r="T7" s="5"/>
      <c r="U7" s="5"/>
      <c r="V7" s="5"/>
      <c r="W7" s="7" t="s">
        <v>31</v>
      </c>
      <c r="X7" s="7" t="s">
        <v>32</v>
      </c>
    </row>
    <row r="8" spans="1:25" x14ac:dyDescent="0.25">
      <c r="A8" s="9">
        <v>5502</v>
      </c>
      <c r="B8" s="10">
        <v>45749.320428240739</v>
      </c>
      <c r="C8" s="7" t="s">
        <v>27</v>
      </c>
      <c r="D8" s="7" t="str">
        <f t="shared" si="0"/>
        <v>AGRICOLA Y FORESTAL NAGUILAN S.A.</v>
      </c>
      <c r="E8" s="9" t="s">
        <v>28</v>
      </c>
      <c r="F8" s="7" t="s">
        <v>29</v>
      </c>
      <c r="G8" s="9"/>
      <c r="H8" s="9"/>
      <c r="I8" s="9"/>
      <c r="J8" s="9"/>
      <c r="K8" s="9"/>
      <c r="L8" s="8" t="s">
        <v>30</v>
      </c>
      <c r="M8" s="9"/>
      <c r="N8" s="9">
        <v>40.377000000000002</v>
      </c>
      <c r="O8" s="9"/>
      <c r="P8" s="10"/>
      <c r="Q8" s="9"/>
      <c r="R8" s="10"/>
      <c r="S8" s="7" t="s">
        <v>29</v>
      </c>
      <c r="T8" s="5"/>
      <c r="U8" s="5"/>
      <c r="V8" s="5"/>
      <c r="W8" s="7" t="s">
        <v>31</v>
      </c>
      <c r="X8" s="7" t="s">
        <v>32</v>
      </c>
    </row>
    <row r="9" spans="1:25" x14ac:dyDescent="0.25">
      <c r="A9" s="9">
        <v>5505</v>
      </c>
      <c r="B9" s="10">
        <v>45749.440405092595</v>
      </c>
      <c r="C9" s="7" t="s">
        <v>27</v>
      </c>
      <c r="D9" s="7" t="str">
        <f t="shared" si="0"/>
        <v>AGRICOLA Y FORESTAL NAGUILAN S.A.</v>
      </c>
      <c r="E9" s="9" t="s">
        <v>28</v>
      </c>
      <c r="F9" s="7" t="s">
        <v>29</v>
      </c>
      <c r="G9" s="9"/>
      <c r="H9" s="9"/>
      <c r="I9" s="9"/>
      <c r="J9" s="9"/>
      <c r="K9" s="9"/>
      <c r="L9" s="8" t="s">
        <v>30</v>
      </c>
      <c r="M9" s="9"/>
      <c r="N9" s="9">
        <v>40.683</v>
      </c>
      <c r="O9" s="9"/>
      <c r="P9" s="10"/>
      <c r="Q9" s="9"/>
      <c r="R9" s="10"/>
      <c r="S9" s="7" t="s">
        <v>29</v>
      </c>
      <c r="T9" s="5"/>
      <c r="U9" s="5"/>
      <c r="V9" s="5"/>
      <c r="W9" s="7" t="s">
        <v>31</v>
      </c>
      <c r="X9" s="7" t="s">
        <v>32</v>
      </c>
    </row>
    <row r="10" spans="1:25" x14ac:dyDescent="0.25">
      <c r="A10" s="9">
        <v>5506</v>
      </c>
      <c r="B10" s="10">
        <v>45749.444467592592</v>
      </c>
      <c r="C10" s="7" t="s">
        <v>27</v>
      </c>
      <c r="D10" s="7" t="str">
        <f t="shared" si="0"/>
        <v>AGRICOLA Y FORESTAL NAGUILAN S.A.</v>
      </c>
      <c r="E10" s="9" t="s">
        <v>28</v>
      </c>
      <c r="F10" s="7" t="s">
        <v>29</v>
      </c>
      <c r="G10" s="9"/>
      <c r="H10" s="9"/>
      <c r="I10" s="9"/>
      <c r="J10" s="9"/>
      <c r="K10" s="9"/>
      <c r="L10" s="8" t="s">
        <v>30</v>
      </c>
      <c r="M10" s="9"/>
      <c r="N10" s="9">
        <v>42.73</v>
      </c>
      <c r="O10" s="9"/>
      <c r="P10" s="10"/>
      <c r="Q10" s="9"/>
      <c r="R10" s="10"/>
      <c r="S10" s="7" t="s">
        <v>29</v>
      </c>
      <c r="T10" s="5"/>
      <c r="U10" s="5"/>
      <c r="V10" s="5"/>
      <c r="W10" s="7" t="s">
        <v>31</v>
      </c>
      <c r="X10" s="7" t="s">
        <v>32</v>
      </c>
    </row>
    <row r="11" spans="1:25" x14ac:dyDescent="0.25">
      <c r="A11" s="9">
        <v>5504</v>
      </c>
      <c r="B11" s="10">
        <v>45749.446400462963</v>
      </c>
      <c r="C11" s="7" t="s">
        <v>27</v>
      </c>
      <c r="D11" s="7" t="str">
        <f t="shared" si="0"/>
        <v>AGRICOLA Y FORESTAL NAGUILAN S.A.</v>
      </c>
      <c r="E11" s="9" t="s">
        <v>28</v>
      </c>
      <c r="F11" s="7" t="s">
        <v>29</v>
      </c>
      <c r="G11" s="9"/>
      <c r="H11" s="9"/>
      <c r="I11" s="9"/>
      <c r="J11" s="9"/>
      <c r="K11" s="9"/>
      <c r="L11" s="8" t="s">
        <v>30</v>
      </c>
      <c r="M11" s="9"/>
      <c r="N11" s="9">
        <v>39.889000000000003</v>
      </c>
      <c r="O11" s="9"/>
      <c r="P11" s="10"/>
      <c r="Q11" s="9"/>
      <c r="R11" s="10"/>
      <c r="S11" s="7" t="s">
        <v>29</v>
      </c>
      <c r="T11" s="5"/>
      <c r="U11" s="5"/>
      <c r="V11" s="5"/>
      <c r="W11" s="7" t="s">
        <v>31</v>
      </c>
      <c r="X11" s="7" t="s">
        <v>32</v>
      </c>
    </row>
    <row r="12" spans="1:25" x14ac:dyDescent="0.25">
      <c r="A12" s="9">
        <v>5507</v>
      </c>
      <c r="B12" s="10">
        <v>45755.311562499999</v>
      </c>
      <c r="C12" s="7" t="s">
        <v>27</v>
      </c>
      <c r="D12" s="7" t="str">
        <f t="shared" si="0"/>
        <v>AGRICOLA Y FORESTAL NAGUILAN S.A.</v>
      </c>
      <c r="E12" s="9" t="s">
        <v>28</v>
      </c>
      <c r="F12" s="7" t="s">
        <v>29</v>
      </c>
      <c r="G12" s="9"/>
      <c r="H12" s="9"/>
      <c r="I12" s="9"/>
      <c r="J12" s="9"/>
      <c r="K12" s="9"/>
      <c r="L12" s="8" t="s">
        <v>30</v>
      </c>
      <c r="M12" s="9"/>
      <c r="N12" s="9">
        <v>40.319000000000003</v>
      </c>
      <c r="O12" s="9"/>
      <c r="P12" s="10"/>
      <c r="Q12" s="9"/>
      <c r="R12" s="10"/>
      <c r="S12" s="7" t="s">
        <v>29</v>
      </c>
      <c r="T12" s="5"/>
      <c r="U12" s="5"/>
      <c r="V12" s="5"/>
      <c r="W12" s="7" t="s">
        <v>31</v>
      </c>
      <c r="X12" s="7" t="s">
        <v>32</v>
      </c>
    </row>
    <row r="13" spans="1:25" x14ac:dyDescent="0.25">
      <c r="A13" s="9">
        <v>5510</v>
      </c>
      <c r="B13" s="10">
        <v>45755.408668981479</v>
      </c>
      <c r="C13" s="7" t="s">
        <v>27</v>
      </c>
      <c r="D13" s="7" t="str">
        <f t="shared" si="0"/>
        <v>AGRICOLA Y FORESTAL NAGUILAN S.A.</v>
      </c>
      <c r="E13" s="9" t="s">
        <v>28</v>
      </c>
      <c r="F13" s="7" t="s">
        <v>29</v>
      </c>
      <c r="G13" s="9"/>
      <c r="H13" s="9"/>
      <c r="I13" s="9"/>
      <c r="J13" s="9"/>
      <c r="K13" s="9"/>
      <c r="L13" s="8" t="s">
        <v>30</v>
      </c>
      <c r="M13" s="9"/>
      <c r="N13" s="9">
        <v>38.661000000000001</v>
      </c>
      <c r="O13" s="9"/>
      <c r="P13" s="10"/>
      <c r="Q13" s="9"/>
      <c r="R13" s="10"/>
      <c r="S13" s="7" t="s">
        <v>29</v>
      </c>
      <c r="T13" s="5"/>
      <c r="U13" s="5"/>
      <c r="V13" s="5"/>
      <c r="W13" s="7" t="s">
        <v>31</v>
      </c>
      <c r="X13" s="7" t="s">
        <v>32</v>
      </c>
    </row>
    <row r="14" spans="1:25" x14ac:dyDescent="0.25">
      <c r="A14" s="9">
        <v>5511</v>
      </c>
      <c r="B14" s="10">
        <v>45755.510011574072</v>
      </c>
      <c r="C14" s="7" t="s">
        <v>27</v>
      </c>
      <c r="D14" s="7" t="str">
        <f t="shared" si="0"/>
        <v>AGRICOLA Y FORESTAL NAGUILAN S.A.</v>
      </c>
      <c r="E14" s="9" t="s">
        <v>28</v>
      </c>
      <c r="F14" s="7" t="s">
        <v>29</v>
      </c>
      <c r="G14" s="9"/>
      <c r="H14" s="9"/>
      <c r="I14" s="9"/>
      <c r="J14" s="9"/>
      <c r="K14" s="9"/>
      <c r="L14" s="8" t="s">
        <v>30</v>
      </c>
      <c r="M14" s="9"/>
      <c r="N14" s="9">
        <v>40.026000000000003</v>
      </c>
      <c r="O14" s="9"/>
      <c r="P14" s="10"/>
      <c r="Q14" s="9"/>
      <c r="R14" s="10"/>
      <c r="S14" s="7" t="s">
        <v>29</v>
      </c>
      <c r="T14" s="5"/>
      <c r="U14" s="5"/>
      <c r="V14" s="5"/>
      <c r="W14" s="7" t="s">
        <v>31</v>
      </c>
      <c r="X14" s="7" t="s">
        <v>32</v>
      </c>
    </row>
    <row r="15" spans="1:25" x14ac:dyDescent="0.25">
      <c r="A15" s="9">
        <v>5512</v>
      </c>
      <c r="B15" s="10">
        <v>45756.311898148146</v>
      </c>
      <c r="C15" s="7" t="s">
        <v>27</v>
      </c>
      <c r="D15" s="7" t="str">
        <f t="shared" si="0"/>
        <v>AGRICOLA Y FORESTAL NAGUILAN S.A.</v>
      </c>
      <c r="E15" s="9" t="s">
        <v>28</v>
      </c>
      <c r="F15" s="7" t="s">
        <v>29</v>
      </c>
      <c r="G15" s="9"/>
      <c r="H15" s="9"/>
      <c r="I15" s="9"/>
      <c r="J15" s="9"/>
      <c r="K15" s="9"/>
      <c r="L15" s="8" t="s">
        <v>30</v>
      </c>
      <c r="M15" s="9"/>
      <c r="N15" s="9">
        <v>40.204999999999998</v>
      </c>
      <c r="O15" s="9"/>
      <c r="P15" s="10"/>
      <c r="Q15" s="9"/>
      <c r="R15" s="10"/>
      <c r="S15" s="7" t="s">
        <v>29</v>
      </c>
      <c r="T15" s="5"/>
      <c r="U15" s="5"/>
      <c r="V15" s="5"/>
      <c r="W15" s="7" t="s">
        <v>31</v>
      </c>
      <c r="X15" s="7" t="s">
        <v>32</v>
      </c>
    </row>
    <row r="16" spans="1:25" x14ac:dyDescent="0.25">
      <c r="A16" s="9">
        <v>5513</v>
      </c>
      <c r="B16" s="10">
        <v>45756.400462962964</v>
      </c>
      <c r="C16" s="7" t="s">
        <v>27</v>
      </c>
      <c r="D16" s="7" t="str">
        <f t="shared" si="0"/>
        <v>AGRICOLA Y FORESTAL NAGUILAN S.A.</v>
      </c>
      <c r="E16" s="9" t="s">
        <v>28</v>
      </c>
      <c r="F16" s="7" t="s">
        <v>29</v>
      </c>
      <c r="G16" s="9"/>
      <c r="H16" s="9"/>
      <c r="I16" s="9"/>
      <c r="J16" s="9"/>
      <c r="K16" s="9"/>
      <c r="L16" s="8" t="s">
        <v>30</v>
      </c>
      <c r="M16" s="9"/>
      <c r="N16" s="9">
        <v>39.506999999999998</v>
      </c>
      <c r="O16" s="9"/>
      <c r="P16" s="10"/>
      <c r="Q16" s="9"/>
      <c r="R16" s="10"/>
      <c r="S16" s="7" t="s">
        <v>29</v>
      </c>
      <c r="T16" s="5"/>
      <c r="U16" s="5"/>
      <c r="V16" s="5"/>
      <c r="W16" s="7" t="s">
        <v>31</v>
      </c>
      <c r="X16" s="7" t="s">
        <v>32</v>
      </c>
    </row>
    <row r="17" spans="1:24" x14ac:dyDescent="0.25">
      <c r="A17" s="9">
        <v>5514</v>
      </c>
      <c r="B17" s="10">
        <v>45756.489861111113</v>
      </c>
      <c r="C17" s="7" t="s">
        <v>27</v>
      </c>
      <c r="D17" s="7" t="str">
        <f t="shared" si="0"/>
        <v>AGRICOLA Y FORESTAL NAGUILAN S.A.</v>
      </c>
      <c r="E17" s="9" t="s">
        <v>28</v>
      </c>
      <c r="F17" s="7" t="s">
        <v>29</v>
      </c>
      <c r="G17" s="9"/>
      <c r="H17" s="9"/>
      <c r="I17" s="9"/>
      <c r="J17" s="9"/>
      <c r="K17" s="9"/>
      <c r="L17" s="8" t="s">
        <v>30</v>
      </c>
      <c r="M17" s="9"/>
      <c r="N17" s="9">
        <v>40.497</v>
      </c>
      <c r="O17" s="9"/>
      <c r="P17" s="10"/>
      <c r="Q17" s="9"/>
      <c r="R17" s="10"/>
      <c r="S17" s="7" t="s">
        <v>29</v>
      </c>
      <c r="T17" s="5"/>
      <c r="U17" s="5"/>
      <c r="V17" s="5"/>
      <c r="W17" s="7" t="s">
        <v>31</v>
      </c>
      <c r="X17" s="7" t="s">
        <v>32</v>
      </c>
    </row>
    <row r="18" spans="1:24" x14ac:dyDescent="0.25">
      <c r="A18" s="9">
        <v>5515</v>
      </c>
      <c r="B18" s="10">
        <v>45756.594953703701</v>
      </c>
      <c r="C18" s="7" t="s">
        <v>27</v>
      </c>
      <c r="D18" s="7" t="str">
        <f t="shared" si="0"/>
        <v>AGRICOLA Y FORESTAL NAGUILAN S.A.</v>
      </c>
      <c r="E18" s="9" t="s">
        <v>28</v>
      </c>
      <c r="F18" s="7" t="s">
        <v>29</v>
      </c>
      <c r="G18" s="9"/>
      <c r="H18" s="9"/>
      <c r="I18" s="9"/>
      <c r="J18" s="9"/>
      <c r="K18" s="9"/>
      <c r="L18" s="8" t="s">
        <v>30</v>
      </c>
      <c r="M18" s="9"/>
      <c r="N18" s="9">
        <v>40.235999999999997</v>
      </c>
      <c r="O18" s="9"/>
      <c r="P18" s="10"/>
      <c r="Q18" s="9"/>
      <c r="R18" s="10"/>
      <c r="S18" s="7" t="s">
        <v>29</v>
      </c>
      <c r="T18" s="5"/>
      <c r="U18" s="5"/>
      <c r="V18" s="5"/>
      <c r="W18" s="7" t="s">
        <v>31</v>
      </c>
      <c r="X18" s="7" t="s">
        <v>32</v>
      </c>
    </row>
    <row r="19" spans="1:24" x14ac:dyDescent="0.25">
      <c r="A19" s="9">
        <v>5516</v>
      </c>
      <c r="B19" s="10">
        <v>45757.308969907404</v>
      </c>
      <c r="C19" s="7" t="s">
        <v>27</v>
      </c>
      <c r="D19" s="7" t="str">
        <f t="shared" si="0"/>
        <v>AGRICOLA Y FORESTAL NAGUILAN S.A.</v>
      </c>
      <c r="E19" s="9" t="s">
        <v>28</v>
      </c>
      <c r="F19" s="7" t="s">
        <v>29</v>
      </c>
      <c r="G19" s="9"/>
      <c r="H19" s="9"/>
      <c r="I19" s="9"/>
      <c r="J19" s="9"/>
      <c r="K19" s="9"/>
      <c r="L19" s="8" t="s">
        <v>30</v>
      </c>
      <c r="M19" s="9"/>
      <c r="N19" s="9">
        <v>40.088999999999999</v>
      </c>
      <c r="O19" s="9"/>
      <c r="P19" s="10"/>
      <c r="Q19" s="9"/>
      <c r="R19" s="10"/>
      <c r="S19" s="7" t="s">
        <v>29</v>
      </c>
      <c r="T19" s="5"/>
      <c r="U19" s="5"/>
      <c r="V19" s="5"/>
      <c r="W19" s="7" t="s">
        <v>31</v>
      </c>
      <c r="X19" s="7" t="s">
        <v>32</v>
      </c>
    </row>
    <row r="20" spans="1:24" x14ac:dyDescent="0.25">
      <c r="A20" s="9">
        <v>5517</v>
      </c>
      <c r="B20" s="10">
        <v>45757.40179398148</v>
      </c>
      <c r="C20" s="7" t="s">
        <v>27</v>
      </c>
      <c r="D20" s="7" t="str">
        <f t="shared" si="0"/>
        <v>AGRICOLA Y FORESTAL NAGUILAN S.A.</v>
      </c>
      <c r="E20" s="9" t="s">
        <v>28</v>
      </c>
      <c r="F20" s="7" t="s">
        <v>29</v>
      </c>
      <c r="G20" s="9"/>
      <c r="H20" s="9"/>
      <c r="I20" s="9"/>
      <c r="J20" s="9"/>
      <c r="K20" s="9"/>
      <c r="L20" s="8" t="s">
        <v>30</v>
      </c>
      <c r="M20" s="9"/>
      <c r="N20" s="9">
        <v>37.048000000000002</v>
      </c>
      <c r="O20" s="9"/>
      <c r="P20" s="10"/>
      <c r="Q20" s="9"/>
      <c r="R20" s="10"/>
      <c r="S20" s="7" t="s">
        <v>29</v>
      </c>
      <c r="T20" s="5"/>
      <c r="U20" s="5"/>
      <c r="V20" s="5"/>
      <c r="W20" s="7" t="s">
        <v>31</v>
      </c>
      <c r="X20" s="7" t="s">
        <v>32</v>
      </c>
    </row>
    <row r="21" spans="1:24" x14ac:dyDescent="0.25">
      <c r="A21" s="9">
        <v>5519</v>
      </c>
      <c r="B21" s="10">
        <v>45758.309317129628</v>
      </c>
      <c r="C21" s="7" t="s">
        <v>27</v>
      </c>
      <c r="D21" s="7" t="str">
        <f t="shared" si="0"/>
        <v>AGRICOLA Y FORESTAL NAGUILAN S.A.</v>
      </c>
      <c r="E21" s="9" t="s">
        <v>28</v>
      </c>
      <c r="F21" s="7" t="s">
        <v>29</v>
      </c>
      <c r="G21" s="9"/>
      <c r="H21" s="9"/>
      <c r="I21" s="9"/>
      <c r="J21" s="9"/>
      <c r="K21" s="9"/>
      <c r="L21" s="8" t="s">
        <v>30</v>
      </c>
      <c r="M21" s="9"/>
      <c r="N21" s="9">
        <v>36.725000000000001</v>
      </c>
      <c r="O21" s="9"/>
      <c r="P21" s="10"/>
      <c r="Q21" s="9"/>
      <c r="R21" s="10"/>
      <c r="S21" s="7" t="s">
        <v>29</v>
      </c>
      <c r="T21" s="5"/>
      <c r="U21" s="5"/>
      <c r="V21" s="5"/>
      <c r="W21" s="7" t="s">
        <v>31</v>
      </c>
      <c r="X21" s="7" t="s">
        <v>32</v>
      </c>
    </row>
    <row r="22" spans="1:24" x14ac:dyDescent="0.25">
      <c r="A22" s="9">
        <v>5518</v>
      </c>
      <c r="B22" s="10">
        <v>45758.321284722224</v>
      </c>
      <c r="C22" s="7" t="s">
        <v>27</v>
      </c>
      <c r="D22" s="7" t="str">
        <f t="shared" si="0"/>
        <v>AGRICOLA Y FORESTAL NAGUILAN S.A.</v>
      </c>
      <c r="E22" s="9" t="s">
        <v>28</v>
      </c>
      <c r="F22" s="7" t="s">
        <v>29</v>
      </c>
      <c r="G22" s="9"/>
      <c r="H22" s="9"/>
      <c r="I22" s="9"/>
      <c r="J22" s="9"/>
      <c r="K22" s="9"/>
      <c r="L22" s="8" t="s">
        <v>30</v>
      </c>
      <c r="M22" s="9"/>
      <c r="N22" s="9">
        <v>36.661000000000001</v>
      </c>
      <c r="O22" s="9"/>
      <c r="P22" s="10"/>
      <c r="Q22" s="9"/>
      <c r="R22" s="10"/>
      <c r="S22" s="7" t="s">
        <v>29</v>
      </c>
      <c r="T22" s="5"/>
      <c r="U22" s="5"/>
      <c r="V22" s="5"/>
      <c r="W22" s="7" t="s">
        <v>31</v>
      </c>
      <c r="X22" s="7" t="s">
        <v>32</v>
      </c>
    </row>
    <row r="23" spans="1:24" x14ac:dyDescent="0.25">
      <c r="A23" s="9">
        <v>5521</v>
      </c>
      <c r="B23" s="10">
        <v>45758.325833333336</v>
      </c>
      <c r="C23" s="7" t="s">
        <v>27</v>
      </c>
      <c r="D23" s="7" t="str">
        <f t="shared" si="0"/>
        <v>AGRICOLA Y FORESTAL NAGUILAN S.A.</v>
      </c>
      <c r="E23" s="9" t="s">
        <v>28</v>
      </c>
      <c r="F23" s="7" t="s">
        <v>29</v>
      </c>
      <c r="G23" s="9"/>
      <c r="H23" s="9"/>
      <c r="I23" s="9"/>
      <c r="J23" s="9"/>
      <c r="K23" s="9"/>
      <c r="L23" s="8" t="s">
        <v>30</v>
      </c>
      <c r="M23" s="9"/>
      <c r="N23" s="9">
        <v>33.118000000000002</v>
      </c>
      <c r="O23" s="9"/>
      <c r="P23" s="10"/>
      <c r="Q23" s="9"/>
      <c r="R23" s="10"/>
      <c r="S23" s="7" t="s">
        <v>29</v>
      </c>
      <c r="T23" s="5"/>
      <c r="U23" s="5"/>
      <c r="V23" s="5"/>
      <c r="W23" s="7" t="s">
        <v>31</v>
      </c>
      <c r="X23" s="7" t="s">
        <v>32</v>
      </c>
    </row>
    <row r="24" spans="1:24" x14ac:dyDescent="0.25">
      <c r="A24" s="9">
        <v>5520</v>
      </c>
      <c r="B24" s="10">
        <v>45758.32640046296</v>
      </c>
      <c r="C24" s="7" t="s">
        <v>27</v>
      </c>
      <c r="D24" s="7" t="str">
        <f t="shared" si="0"/>
        <v>AGRICOLA Y FORESTAL NAGUILAN S.A.</v>
      </c>
      <c r="E24" s="9" t="s">
        <v>28</v>
      </c>
      <c r="F24" s="7" t="s">
        <v>29</v>
      </c>
      <c r="G24" s="9"/>
      <c r="H24" s="9"/>
      <c r="I24" s="9"/>
      <c r="J24" s="9"/>
      <c r="K24" s="9"/>
      <c r="L24" s="8" t="s">
        <v>30</v>
      </c>
      <c r="M24" s="9"/>
      <c r="N24" s="9">
        <v>38.299999999999997</v>
      </c>
      <c r="O24" s="9"/>
      <c r="P24" s="10"/>
      <c r="Q24" s="9"/>
      <c r="R24" s="10"/>
      <c r="S24" s="7" t="s">
        <v>29</v>
      </c>
      <c r="T24" s="5"/>
      <c r="U24" s="5"/>
      <c r="V24" s="5"/>
      <c r="W24" s="7" t="s">
        <v>31</v>
      </c>
      <c r="X24" s="7" t="s">
        <v>32</v>
      </c>
    </row>
    <row r="25" spans="1:24" x14ac:dyDescent="0.25">
      <c r="A25" s="9">
        <v>5522</v>
      </c>
      <c r="B25" s="10">
        <v>45758.469189814816</v>
      </c>
      <c r="C25" s="7" t="s">
        <v>27</v>
      </c>
      <c r="D25" s="7" t="str">
        <f t="shared" si="0"/>
        <v>AGRICOLA Y FORESTAL NAGUILAN S.A.</v>
      </c>
      <c r="E25" s="9" t="s">
        <v>28</v>
      </c>
      <c r="F25" s="7" t="s">
        <v>29</v>
      </c>
      <c r="G25" s="9"/>
      <c r="H25" s="9"/>
      <c r="I25" s="9"/>
      <c r="J25" s="9"/>
      <c r="K25" s="9"/>
      <c r="L25" s="8" t="s">
        <v>30</v>
      </c>
      <c r="M25" s="9"/>
      <c r="N25" s="9">
        <v>40.668999999999997</v>
      </c>
      <c r="O25" s="9"/>
      <c r="P25" s="10"/>
      <c r="Q25" s="9"/>
      <c r="R25" s="10"/>
      <c r="S25" s="7" t="s">
        <v>29</v>
      </c>
      <c r="T25" s="5"/>
      <c r="U25" s="5"/>
      <c r="V25" s="5"/>
      <c r="W25" s="7" t="s">
        <v>31</v>
      </c>
      <c r="X25" s="7" t="s">
        <v>32</v>
      </c>
    </row>
    <row r="26" spans="1:24" x14ac:dyDescent="0.25">
      <c r="A26" s="9">
        <v>5523</v>
      </c>
      <c r="B26" s="10">
        <v>45758.574097222219</v>
      </c>
      <c r="C26" s="7" t="s">
        <v>27</v>
      </c>
      <c r="D26" s="7" t="str">
        <f t="shared" si="0"/>
        <v>AGRICOLA Y FORESTAL NAGUILAN S.A.</v>
      </c>
      <c r="E26" s="9" t="s">
        <v>28</v>
      </c>
      <c r="F26" s="7" t="s">
        <v>29</v>
      </c>
      <c r="G26" s="9"/>
      <c r="H26" s="9"/>
      <c r="I26" s="9"/>
      <c r="J26" s="9"/>
      <c r="K26" s="9"/>
      <c r="L26" s="8" t="s">
        <v>30</v>
      </c>
      <c r="M26" s="9"/>
      <c r="N26" s="9">
        <v>39.244</v>
      </c>
      <c r="O26" s="9"/>
      <c r="P26" s="10"/>
      <c r="Q26" s="9"/>
      <c r="R26" s="10"/>
      <c r="S26" s="7" t="s">
        <v>29</v>
      </c>
      <c r="T26" s="5"/>
      <c r="U26" s="5"/>
      <c r="V26" s="5"/>
      <c r="W26" s="7" t="s">
        <v>31</v>
      </c>
      <c r="X26" s="7" t="s">
        <v>32</v>
      </c>
    </row>
    <row r="27" spans="1:24" x14ac:dyDescent="0.25">
      <c r="A27" s="9">
        <v>5524</v>
      </c>
      <c r="B27" s="10">
        <v>45761.317060185182</v>
      </c>
      <c r="C27" s="7" t="s">
        <v>27</v>
      </c>
      <c r="D27" s="7" t="str">
        <f t="shared" si="0"/>
        <v>AGRICOLA Y FORESTAL NAGUILAN S.A.</v>
      </c>
      <c r="E27" s="9" t="s">
        <v>28</v>
      </c>
      <c r="F27" s="7" t="s">
        <v>29</v>
      </c>
      <c r="G27" s="9"/>
      <c r="H27" s="9"/>
      <c r="I27" s="9"/>
      <c r="J27" s="9"/>
      <c r="K27" s="9"/>
      <c r="L27" s="8" t="s">
        <v>30</v>
      </c>
      <c r="M27" s="9"/>
      <c r="N27" s="9">
        <v>39.972999999999999</v>
      </c>
      <c r="O27" s="9"/>
      <c r="P27" s="10"/>
      <c r="Q27" s="9"/>
      <c r="R27" s="10"/>
      <c r="S27" s="7" t="s">
        <v>29</v>
      </c>
      <c r="T27" s="5"/>
      <c r="U27" s="5"/>
      <c r="V27" s="5"/>
      <c r="W27" s="7" t="s">
        <v>31</v>
      </c>
      <c r="X27" s="7" t="s">
        <v>32</v>
      </c>
    </row>
    <row r="28" spans="1:24" x14ac:dyDescent="0.25">
      <c r="A28" s="9">
        <v>5525</v>
      </c>
      <c r="B28" s="10">
        <v>45761.489212962966</v>
      </c>
      <c r="C28" s="7" t="s">
        <v>27</v>
      </c>
      <c r="D28" s="7" t="str">
        <f t="shared" si="0"/>
        <v>AGRICOLA Y FORESTAL NAGUILAN S.A.</v>
      </c>
      <c r="E28" s="9" t="s">
        <v>28</v>
      </c>
      <c r="F28" s="7" t="s">
        <v>29</v>
      </c>
      <c r="G28" s="9"/>
      <c r="H28" s="9"/>
      <c r="I28" s="9"/>
      <c r="J28" s="9"/>
      <c r="K28" s="9"/>
      <c r="L28" s="8" t="s">
        <v>30</v>
      </c>
      <c r="M28" s="9"/>
      <c r="N28" s="9">
        <v>40.137999999999998</v>
      </c>
      <c r="O28" s="9"/>
      <c r="P28" s="10"/>
      <c r="Q28" s="9"/>
      <c r="R28" s="10"/>
      <c r="S28" s="7" t="s">
        <v>29</v>
      </c>
      <c r="T28" s="5"/>
      <c r="U28" s="5"/>
      <c r="V28" s="5"/>
      <c r="W28" s="7" t="s">
        <v>31</v>
      </c>
      <c r="X28" s="7" t="s">
        <v>32</v>
      </c>
    </row>
    <row r="29" spans="1:24" x14ac:dyDescent="0.25">
      <c r="A29" s="9">
        <v>5526</v>
      </c>
      <c r="B29" s="10">
        <v>45761.610405092593</v>
      </c>
      <c r="C29" s="7" t="s">
        <v>27</v>
      </c>
      <c r="D29" s="7" t="str">
        <f t="shared" si="0"/>
        <v>AGRICOLA Y FORESTAL NAGUILAN S.A.</v>
      </c>
      <c r="E29" s="9" t="s">
        <v>28</v>
      </c>
      <c r="F29" s="7" t="s">
        <v>29</v>
      </c>
      <c r="G29" s="9"/>
      <c r="H29" s="9"/>
      <c r="I29" s="9"/>
      <c r="J29" s="9"/>
      <c r="K29" s="9"/>
      <c r="L29" s="8" t="s">
        <v>30</v>
      </c>
      <c r="M29" s="9"/>
      <c r="N29" s="9">
        <v>40.646999999999998</v>
      </c>
      <c r="O29" s="9"/>
      <c r="P29" s="10"/>
      <c r="Q29" s="9"/>
      <c r="R29" s="10"/>
      <c r="S29" s="7" t="s">
        <v>29</v>
      </c>
      <c r="T29" s="5"/>
      <c r="U29" s="5"/>
      <c r="V29" s="5"/>
      <c r="W29" s="7" t="s">
        <v>31</v>
      </c>
      <c r="X29" s="7" t="s">
        <v>32</v>
      </c>
    </row>
    <row r="30" spans="1:24" x14ac:dyDescent="0.25">
      <c r="A30" s="9">
        <v>5527</v>
      </c>
      <c r="B30" s="10">
        <v>45762.316736111112</v>
      </c>
      <c r="C30" s="7" t="s">
        <v>27</v>
      </c>
      <c r="D30" s="7" t="str">
        <f t="shared" si="0"/>
        <v>AGRICOLA Y FORESTAL NAGUILAN S.A.</v>
      </c>
      <c r="E30" s="9" t="s">
        <v>28</v>
      </c>
      <c r="F30" s="7" t="s">
        <v>29</v>
      </c>
      <c r="G30" s="9"/>
      <c r="H30" s="9"/>
      <c r="I30" s="9"/>
      <c r="J30" s="9"/>
      <c r="K30" s="9"/>
      <c r="L30" s="8" t="s">
        <v>30</v>
      </c>
      <c r="M30" s="9"/>
      <c r="N30" s="9">
        <v>40.234000000000002</v>
      </c>
      <c r="O30" s="9"/>
      <c r="P30" s="10"/>
      <c r="Q30" s="9"/>
      <c r="R30" s="10"/>
      <c r="S30" s="7" t="s">
        <v>29</v>
      </c>
      <c r="T30" s="5"/>
      <c r="U30" s="5"/>
      <c r="V30" s="5"/>
      <c r="W30" s="7" t="s">
        <v>31</v>
      </c>
      <c r="X30" s="7" t="s">
        <v>32</v>
      </c>
    </row>
    <row r="31" spans="1:24" x14ac:dyDescent="0.25">
      <c r="A31" s="9">
        <v>5528</v>
      </c>
      <c r="B31" s="10">
        <v>45762.415856481479</v>
      </c>
      <c r="C31" s="7" t="s">
        <v>27</v>
      </c>
      <c r="D31" s="7" t="str">
        <f t="shared" si="0"/>
        <v>AGRICOLA Y FORESTAL NAGUILAN S.A.</v>
      </c>
      <c r="E31" s="9" t="s">
        <v>28</v>
      </c>
      <c r="F31" s="7" t="s">
        <v>29</v>
      </c>
      <c r="G31" s="9"/>
      <c r="H31" s="9"/>
      <c r="I31" s="9"/>
      <c r="J31" s="9"/>
      <c r="K31" s="9"/>
      <c r="L31" s="8" t="s">
        <v>30</v>
      </c>
      <c r="M31" s="9"/>
      <c r="N31" s="9">
        <v>40.176000000000002</v>
      </c>
      <c r="O31" s="9"/>
      <c r="P31" s="10"/>
      <c r="Q31" s="9"/>
      <c r="R31" s="10"/>
      <c r="S31" s="7" t="s">
        <v>29</v>
      </c>
      <c r="T31" s="5"/>
      <c r="U31" s="5"/>
      <c r="V31" s="5"/>
      <c r="W31" s="7" t="s">
        <v>31</v>
      </c>
      <c r="X31" s="7" t="s">
        <v>32</v>
      </c>
    </row>
    <row r="32" spans="1:24" x14ac:dyDescent="0.25">
      <c r="A32" s="9">
        <v>5529</v>
      </c>
      <c r="B32" s="10">
        <v>45762.547951388886</v>
      </c>
      <c r="C32" s="7" t="s">
        <v>27</v>
      </c>
      <c r="D32" s="7" t="str">
        <f t="shared" si="0"/>
        <v>AGRICOLA Y FORESTAL NAGUILAN S.A.</v>
      </c>
      <c r="E32" s="9" t="s">
        <v>28</v>
      </c>
      <c r="F32" s="7" t="s">
        <v>29</v>
      </c>
      <c r="G32" s="9"/>
      <c r="H32" s="9"/>
      <c r="I32" s="9"/>
      <c r="J32" s="9"/>
      <c r="K32" s="9"/>
      <c r="L32" s="8" t="s">
        <v>30</v>
      </c>
      <c r="M32" s="9"/>
      <c r="N32" s="9">
        <v>40.503999999999998</v>
      </c>
      <c r="O32" s="9"/>
      <c r="P32" s="10"/>
      <c r="Q32" s="9"/>
      <c r="R32" s="10"/>
      <c r="S32" s="7" t="s">
        <v>29</v>
      </c>
      <c r="T32" s="5"/>
      <c r="U32" s="5"/>
      <c r="V32" s="5"/>
      <c r="W32" s="7" t="s">
        <v>31</v>
      </c>
      <c r="X32" s="7" t="s">
        <v>32</v>
      </c>
    </row>
    <row r="33" spans="1:24" x14ac:dyDescent="0.25">
      <c r="A33" s="9">
        <v>5530</v>
      </c>
      <c r="B33" s="10">
        <v>45763.330196759256</v>
      </c>
      <c r="C33" s="7" t="s">
        <v>27</v>
      </c>
      <c r="D33" s="7" t="str">
        <f t="shared" si="0"/>
        <v>AGRICOLA Y FORESTAL NAGUILAN S.A.</v>
      </c>
      <c r="E33" s="9" t="s">
        <v>28</v>
      </c>
      <c r="F33" s="7" t="s">
        <v>29</v>
      </c>
      <c r="G33" s="9"/>
      <c r="H33" s="9"/>
      <c r="I33" s="9"/>
      <c r="J33" s="9"/>
      <c r="K33" s="9"/>
      <c r="L33" s="8" t="s">
        <v>30</v>
      </c>
      <c r="M33" s="9"/>
      <c r="N33" s="9">
        <v>37.597000000000001</v>
      </c>
      <c r="O33" s="9"/>
      <c r="P33" s="10"/>
      <c r="Q33" s="9"/>
      <c r="R33" s="10"/>
      <c r="S33" s="7" t="s">
        <v>29</v>
      </c>
      <c r="T33" s="5"/>
      <c r="U33" s="5"/>
      <c r="V33" s="5"/>
      <c r="W33" s="7" t="s">
        <v>31</v>
      </c>
      <c r="X33" s="7" t="s">
        <v>32</v>
      </c>
    </row>
    <row r="34" spans="1:24" x14ac:dyDescent="0.25">
      <c r="A34" s="9">
        <v>5531</v>
      </c>
      <c r="B34" s="10">
        <v>45763.436076388891</v>
      </c>
      <c r="C34" s="7" t="s">
        <v>27</v>
      </c>
      <c r="D34" s="7" t="str">
        <f t="shared" ref="D34:D65" si="1">+C34</f>
        <v>AGRICOLA Y FORESTAL NAGUILAN S.A.</v>
      </c>
      <c r="E34" s="9" t="s">
        <v>28</v>
      </c>
      <c r="F34" s="7" t="s">
        <v>29</v>
      </c>
      <c r="G34" s="9"/>
      <c r="H34" s="9"/>
      <c r="I34" s="9"/>
      <c r="J34" s="9"/>
      <c r="K34" s="9"/>
      <c r="L34" s="8" t="s">
        <v>30</v>
      </c>
      <c r="M34" s="9"/>
      <c r="N34" s="9">
        <v>36.689</v>
      </c>
      <c r="O34" s="9"/>
      <c r="P34" s="10"/>
      <c r="Q34" s="9"/>
      <c r="R34" s="10"/>
      <c r="S34" s="7" t="s">
        <v>29</v>
      </c>
      <c r="T34" s="5"/>
      <c r="U34" s="5"/>
      <c r="V34" s="5"/>
      <c r="W34" s="7" t="s">
        <v>31</v>
      </c>
      <c r="X34" s="7" t="s">
        <v>32</v>
      </c>
    </row>
    <row r="35" spans="1:24" x14ac:dyDescent="0.25">
      <c r="A35" s="9">
        <v>5532</v>
      </c>
      <c r="B35" s="10">
        <v>45763.564467592594</v>
      </c>
      <c r="C35" s="7" t="s">
        <v>27</v>
      </c>
      <c r="D35" s="7" t="str">
        <f t="shared" si="1"/>
        <v>AGRICOLA Y FORESTAL NAGUILAN S.A.</v>
      </c>
      <c r="E35" s="9" t="s">
        <v>28</v>
      </c>
      <c r="F35" s="7" t="s">
        <v>29</v>
      </c>
      <c r="G35" s="9"/>
      <c r="H35" s="9"/>
      <c r="I35" s="9"/>
      <c r="J35" s="9"/>
      <c r="K35" s="9"/>
      <c r="L35" s="8" t="s">
        <v>30</v>
      </c>
      <c r="M35" s="9"/>
      <c r="N35" s="9">
        <v>40.648000000000003</v>
      </c>
      <c r="O35" s="9"/>
      <c r="P35" s="10"/>
      <c r="Q35" s="9"/>
      <c r="R35" s="10"/>
      <c r="S35" s="7" t="s">
        <v>29</v>
      </c>
      <c r="T35" s="5"/>
      <c r="U35" s="5"/>
      <c r="V35" s="5"/>
      <c r="W35" s="7" t="s">
        <v>31</v>
      </c>
      <c r="X35" s="7" t="s">
        <v>32</v>
      </c>
    </row>
    <row r="36" spans="1:24" x14ac:dyDescent="0.25">
      <c r="A36" s="9">
        <v>5533</v>
      </c>
      <c r="B36" s="10">
        <v>45763.566782407404</v>
      </c>
      <c r="C36" s="7" t="s">
        <v>27</v>
      </c>
      <c r="D36" s="7" t="str">
        <f t="shared" si="1"/>
        <v>AGRICOLA Y FORESTAL NAGUILAN S.A.</v>
      </c>
      <c r="E36" s="9" t="s">
        <v>28</v>
      </c>
      <c r="F36" s="7" t="s">
        <v>29</v>
      </c>
      <c r="G36" s="9"/>
      <c r="H36" s="9"/>
      <c r="I36" s="9"/>
      <c r="J36" s="9"/>
      <c r="K36" s="9"/>
      <c r="L36" s="8" t="s">
        <v>30</v>
      </c>
      <c r="M36" s="9"/>
      <c r="N36" s="9">
        <v>40.951000000000001</v>
      </c>
      <c r="O36" s="9"/>
      <c r="P36" s="10"/>
      <c r="Q36" s="9"/>
      <c r="R36" s="10"/>
      <c r="S36" s="7" t="s">
        <v>29</v>
      </c>
      <c r="T36" s="5"/>
      <c r="U36" s="5"/>
      <c r="V36" s="5"/>
      <c r="W36" s="7" t="s">
        <v>31</v>
      </c>
      <c r="X36" s="7" t="s">
        <v>32</v>
      </c>
    </row>
    <row r="37" spans="1:24" x14ac:dyDescent="0.25">
      <c r="A37" s="9">
        <v>5535</v>
      </c>
      <c r="B37" s="10">
        <v>45764.32880787037</v>
      </c>
      <c r="C37" s="7" t="s">
        <v>27</v>
      </c>
      <c r="D37" s="7" t="str">
        <f t="shared" si="1"/>
        <v>AGRICOLA Y FORESTAL NAGUILAN S.A.</v>
      </c>
      <c r="E37" s="9" t="s">
        <v>28</v>
      </c>
      <c r="F37" s="7" t="s">
        <v>29</v>
      </c>
      <c r="G37" s="9"/>
      <c r="H37" s="9"/>
      <c r="I37" s="9"/>
      <c r="J37" s="9"/>
      <c r="K37" s="9"/>
      <c r="L37" s="8" t="s">
        <v>30</v>
      </c>
      <c r="M37" s="9"/>
      <c r="N37" s="9">
        <v>40.588000000000001</v>
      </c>
      <c r="O37" s="9"/>
      <c r="P37" s="10"/>
      <c r="Q37" s="9"/>
      <c r="R37" s="10"/>
      <c r="S37" s="7" t="s">
        <v>29</v>
      </c>
      <c r="T37" s="5"/>
      <c r="U37" s="5"/>
      <c r="V37" s="5"/>
      <c r="W37" s="7" t="s">
        <v>31</v>
      </c>
      <c r="X37" s="7" t="s">
        <v>32</v>
      </c>
    </row>
    <row r="38" spans="1:24" x14ac:dyDescent="0.25">
      <c r="A38" s="9">
        <v>5536</v>
      </c>
      <c r="B38" s="10">
        <v>45764.330763888887</v>
      </c>
      <c r="C38" s="7" t="s">
        <v>27</v>
      </c>
      <c r="D38" s="7" t="str">
        <f t="shared" si="1"/>
        <v>AGRICOLA Y FORESTAL NAGUILAN S.A.</v>
      </c>
      <c r="E38" s="9" t="s">
        <v>28</v>
      </c>
      <c r="F38" s="7" t="s">
        <v>29</v>
      </c>
      <c r="G38" s="9"/>
      <c r="H38" s="9"/>
      <c r="I38" s="9"/>
      <c r="J38" s="9"/>
      <c r="K38" s="9"/>
      <c r="L38" s="8" t="s">
        <v>30</v>
      </c>
      <c r="M38" s="9"/>
      <c r="N38" s="9">
        <v>39.792000000000002</v>
      </c>
      <c r="O38" s="9"/>
      <c r="P38" s="10"/>
      <c r="Q38" s="9"/>
      <c r="R38" s="10"/>
      <c r="S38" s="7" t="s">
        <v>29</v>
      </c>
      <c r="T38" s="5"/>
      <c r="U38" s="5"/>
      <c r="V38" s="5"/>
      <c r="W38" s="7" t="s">
        <v>31</v>
      </c>
      <c r="X38" s="7" t="s">
        <v>32</v>
      </c>
    </row>
    <row r="39" spans="1:24" x14ac:dyDescent="0.25">
      <c r="A39" s="9">
        <v>5534</v>
      </c>
      <c r="B39" s="10">
        <v>45764.333414351851</v>
      </c>
      <c r="C39" s="7" t="s">
        <v>27</v>
      </c>
      <c r="D39" s="7" t="str">
        <f t="shared" si="1"/>
        <v>AGRICOLA Y FORESTAL NAGUILAN S.A.</v>
      </c>
      <c r="E39" s="9" t="s">
        <v>28</v>
      </c>
      <c r="F39" s="7" t="s">
        <v>29</v>
      </c>
      <c r="G39" s="9"/>
      <c r="H39" s="9"/>
      <c r="I39" s="9"/>
      <c r="J39" s="9"/>
      <c r="K39" s="9"/>
      <c r="L39" s="8" t="s">
        <v>30</v>
      </c>
      <c r="M39" s="9"/>
      <c r="N39" s="9">
        <v>39.993000000000002</v>
      </c>
      <c r="O39" s="9"/>
      <c r="P39" s="10"/>
      <c r="Q39" s="9"/>
      <c r="R39" s="10"/>
      <c r="S39" s="7" t="s">
        <v>29</v>
      </c>
      <c r="T39" s="5"/>
      <c r="U39" s="5"/>
      <c r="V39" s="5"/>
      <c r="W39" s="7" t="s">
        <v>31</v>
      </c>
      <c r="X39" s="7" t="s">
        <v>32</v>
      </c>
    </row>
    <row r="40" spans="1:24" x14ac:dyDescent="0.25">
      <c r="A40" s="9">
        <v>5537</v>
      </c>
      <c r="B40" s="10">
        <v>45764.447199074071</v>
      </c>
      <c r="C40" s="7" t="s">
        <v>27</v>
      </c>
      <c r="D40" s="7" t="str">
        <f t="shared" si="1"/>
        <v>AGRICOLA Y FORESTAL NAGUILAN S.A.</v>
      </c>
      <c r="E40" s="9" t="s">
        <v>28</v>
      </c>
      <c r="F40" s="7" t="s">
        <v>29</v>
      </c>
      <c r="G40" s="9"/>
      <c r="H40" s="9"/>
      <c r="I40" s="9"/>
      <c r="J40" s="9"/>
      <c r="K40" s="9"/>
      <c r="L40" s="8" t="s">
        <v>30</v>
      </c>
      <c r="M40" s="9"/>
      <c r="N40" s="9">
        <v>37.680999999999997</v>
      </c>
      <c r="O40" s="9"/>
      <c r="P40" s="10"/>
      <c r="Q40" s="9"/>
      <c r="R40" s="10"/>
      <c r="S40" s="7" t="s">
        <v>29</v>
      </c>
      <c r="T40" s="5"/>
      <c r="U40" s="5"/>
      <c r="V40" s="5"/>
      <c r="W40" s="7" t="s">
        <v>31</v>
      </c>
      <c r="X40" s="7" t="s">
        <v>32</v>
      </c>
    </row>
    <row r="41" spans="1:24" x14ac:dyDescent="0.25">
      <c r="A41" s="9">
        <v>5538</v>
      </c>
      <c r="B41" s="10">
        <v>45764.491886574076</v>
      </c>
      <c r="C41" s="7" t="s">
        <v>27</v>
      </c>
      <c r="D41" s="7" t="str">
        <f t="shared" si="1"/>
        <v>AGRICOLA Y FORESTAL NAGUILAN S.A.</v>
      </c>
      <c r="E41" s="9" t="s">
        <v>28</v>
      </c>
      <c r="F41" s="7" t="s">
        <v>29</v>
      </c>
      <c r="G41" s="9"/>
      <c r="H41" s="9"/>
      <c r="I41" s="9"/>
      <c r="J41" s="9"/>
      <c r="K41" s="9"/>
      <c r="L41" s="8" t="s">
        <v>30</v>
      </c>
      <c r="M41" s="9"/>
      <c r="N41" s="9">
        <v>31.001999999999999</v>
      </c>
      <c r="O41" s="9"/>
      <c r="P41" s="10"/>
      <c r="Q41" s="9"/>
      <c r="R41" s="10"/>
      <c r="S41" s="7" t="s">
        <v>29</v>
      </c>
      <c r="T41" s="5"/>
      <c r="U41" s="5"/>
      <c r="V41" s="5"/>
      <c r="W41" s="7" t="s">
        <v>31</v>
      </c>
      <c r="X41" s="7" t="s">
        <v>32</v>
      </c>
    </row>
    <row r="42" spans="1:24" x14ac:dyDescent="0.25">
      <c r="A42" s="9">
        <v>5539</v>
      </c>
      <c r="B42" s="10">
        <v>45764.493287037039</v>
      </c>
      <c r="C42" s="7" t="s">
        <v>27</v>
      </c>
      <c r="D42" s="7" t="str">
        <f t="shared" si="1"/>
        <v>AGRICOLA Y FORESTAL NAGUILAN S.A.</v>
      </c>
      <c r="E42" s="9" t="s">
        <v>28</v>
      </c>
      <c r="F42" s="7" t="s">
        <v>29</v>
      </c>
      <c r="G42" s="9"/>
      <c r="H42" s="9"/>
      <c r="I42" s="9"/>
      <c r="J42" s="9"/>
      <c r="K42" s="9"/>
      <c r="L42" s="8" t="s">
        <v>30</v>
      </c>
      <c r="M42" s="9"/>
      <c r="N42" s="9">
        <v>35.323</v>
      </c>
      <c r="O42" s="9"/>
      <c r="P42" s="10"/>
      <c r="Q42" s="9"/>
      <c r="R42" s="10"/>
      <c r="S42" s="7" t="s">
        <v>29</v>
      </c>
      <c r="T42" s="5"/>
      <c r="U42" s="5"/>
      <c r="V42" s="5"/>
      <c r="W42" s="7" t="s">
        <v>31</v>
      </c>
      <c r="X42" s="7" t="s">
        <v>32</v>
      </c>
    </row>
    <row r="43" spans="1:24" x14ac:dyDescent="0.25">
      <c r="A43" s="9">
        <v>5540</v>
      </c>
      <c r="B43" s="10">
        <v>45768.422743055555</v>
      </c>
      <c r="C43" s="7" t="s">
        <v>27</v>
      </c>
      <c r="D43" s="7" t="str">
        <f t="shared" si="1"/>
        <v>AGRICOLA Y FORESTAL NAGUILAN S.A.</v>
      </c>
      <c r="E43" s="9" t="s">
        <v>28</v>
      </c>
      <c r="F43" s="7" t="s">
        <v>29</v>
      </c>
      <c r="G43" s="9"/>
      <c r="H43" s="9"/>
      <c r="I43" s="9"/>
      <c r="J43" s="9"/>
      <c r="K43" s="9"/>
      <c r="L43" s="8" t="s">
        <v>30</v>
      </c>
      <c r="M43" s="9"/>
      <c r="N43" s="9">
        <v>38.231999999999999</v>
      </c>
      <c r="O43" s="9"/>
      <c r="P43" s="10"/>
      <c r="Q43" s="9"/>
      <c r="R43" s="10"/>
      <c r="S43" s="7" t="s">
        <v>29</v>
      </c>
      <c r="T43" s="5"/>
      <c r="U43" s="5"/>
      <c r="V43" s="5"/>
      <c r="W43" s="7" t="s">
        <v>31</v>
      </c>
      <c r="X43" s="7" t="s">
        <v>32</v>
      </c>
    </row>
    <row r="44" spans="1:24" x14ac:dyDescent="0.25">
      <c r="A44" s="9">
        <v>5541</v>
      </c>
      <c r="B44" s="10">
        <v>45768.55877314815</v>
      </c>
      <c r="C44" s="7" t="s">
        <v>27</v>
      </c>
      <c r="D44" s="7" t="str">
        <f t="shared" si="1"/>
        <v>AGRICOLA Y FORESTAL NAGUILAN S.A.</v>
      </c>
      <c r="E44" s="9" t="s">
        <v>28</v>
      </c>
      <c r="F44" s="7" t="s">
        <v>29</v>
      </c>
      <c r="G44" s="9"/>
      <c r="H44" s="9"/>
      <c r="I44" s="9"/>
      <c r="J44" s="9"/>
      <c r="K44" s="9"/>
      <c r="L44" s="8" t="s">
        <v>30</v>
      </c>
      <c r="M44" s="9"/>
      <c r="N44" s="9">
        <v>39.334000000000003</v>
      </c>
      <c r="O44" s="9"/>
      <c r="P44" s="10"/>
      <c r="Q44" s="9"/>
      <c r="R44" s="10"/>
      <c r="S44" s="7" t="s">
        <v>29</v>
      </c>
      <c r="T44" s="5"/>
      <c r="U44" s="5"/>
      <c r="V44" s="5"/>
      <c r="W44" s="7" t="s">
        <v>31</v>
      </c>
      <c r="X44" s="7" t="s">
        <v>32</v>
      </c>
    </row>
    <row r="45" spans="1:24" x14ac:dyDescent="0.25">
      <c r="A45" s="9">
        <v>5542</v>
      </c>
      <c r="B45" s="10">
        <v>45768.665694444448</v>
      </c>
      <c r="C45" s="7" t="s">
        <v>27</v>
      </c>
      <c r="D45" s="7" t="str">
        <f t="shared" si="1"/>
        <v>AGRICOLA Y FORESTAL NAGUILAN S.A.</v>
      </c>
      <c r="E45" s="9" t="s">
        <v>28</v>
      </c>
      <c r="F45" s="7" t="s">
        <v>29</v>
      </c>
      <c r="G45" s="9"/>
      <c r="H45" s="9"/>
      <c r="I45" s="9"/>
      <c r="J45" s="9"/>
      <c r="K45" s="9"/>
      <c r="L45" s="8" t="s">
        <v>30</v>
      </c>
      <c r="M45" s="9"/>
      <c r="N45" s="9">
        <v>39.905999999999999</v>
      </c>
      <c r="O45" s="9"/>
      <c r="P45" s="10"/>
      <c r="Q45" s="9"/>
      <c r="R45" s="10"/>
      <c r="S45" s="7" t="s">
        <v>29</v>
      </c>
      <c r="T45" s="5"/>
      <c r="U45" s="5"/>
      <c r="V45" s="5"/>
      <c r="W45" s="7" t="s">
        <v>31</v>
      </c>
      <c r="X45" s="7" t="s">
        <v>32</v>
      </c>
    </row>
    <row r="46" spans="1:24" x14ac:dyDescent="0.25">
      <c r="A46" s="9">
        <v>5543</v>
      </c>
      <c r="B46" s="10">
        <v>45769.324432870373</v>
      </c>
      <c r="C46" s="7" t="s">
        <v>27</v>
      </c>
      <c r="D46" s="7" t="str">
        <f t="shared" si="1"/>
        <v>AGRICOLA Y FORESTAL NAGUILAN S.A.</v>
      </c>
      <c r="E46" s="9" t="s">
        <v>28</v>
      </c>
      <c r="F46" s="7" t="s">
        <v>29</v>
      </c>
      <c r="G46" s="9"/>
      <c r="H46" s="9"/>
      <c r="I46" s="9"/>
      <c r="J46" s="9"/>
      <c r="K46" s="9"/>
      <c r="L46" s="8" t="s">
        <v>30</v>
      </c>
      <c r="M46" s="9"/>
      <c r="N46" s="9">
        <v>39.738</v>
      </c>
      <c r="O46" s="9"/>
      <c r="P46" s="10"/>
      <c r="Q46" s="9"/>
      <c r="R46" s="10"/>
      <c r="S46" s="7" t="s">
        <v>29</v>
      </c>
      <c r="T46" s="5"/>
      <c r="U46" s="5"/>
      <c r="V46" s="5"/>
      <c r="W46" s="7" t="s">
        <v>31</v>
      </c>
      <c r="X46" s="7" t="s">
        <v>32</v>
      </c>
    </row>
    <row r="47" spans="1:24" x14ac:dyDescent="0.25">
      <c r="A47" s="9">
        <v>5544</v>
      </c>
      <c r="B47" s="10">
        <v>45769.441493055558</v>
      </c>
      <c r="C47" s="7" t="s">
        <v>27</v>
      </c>
      <c r="D47" s="7" t="str">
        <f t="shared" si="1"/>
        <v>AGRICOLA Y FORESTAL NAGUILAN S.A.</v>
      </c>
      <c r="E47" s="9" t="s">
        <v>28</v>
      </c>
      <c r="F47" s="7" t="s">
        <v>29</v>
      </c>
      <c r="G47" s="9"/>
      <c r="H47" s="9"/>
      <c r="I47" s="9"/>
      <c r="J47" s="9"/>
      <c r="K47" s="9"/>
      <c r="L47" s="8" t="s">
        <v>30</v>
      </c>
      <c r="M47" s="9"/>
      <c r="N47" s="9">
        <v>38.218000000000004</v>
      </c>
      <c r="O47" s="9"/>
      <c r="P47" s="10"/>
      <c r="Q47" s="9"/>
      <c r="R47" s="10"/>
      <c r="S47" s="7" t="s">
        <v>29</v>
      </c>
      <c r="T47" s="5"/>
      <c r="U47" s="5"/>
      <c r="V47" s="5"/>
      <c r="W47" s="7" t="s">
        <v>31</v>
      </c>
      <c r="X47" s="7" t="s">
        <v>32</v>
      </c>
    </row>
    <row r="48" spans="1:24" x14ac:dyDescent="0.25">
      <c r="A48" s="9">
        <v>5545</v>
      </c>
      <c r="B48" s="10">
        <v>45769.548993055556</v>
      </c>
      <c r="C48" s="7" t="s">
        <v>27</v>
      </c>
      <c r="D48" s="7" t="str">
        <f t="shared" si="1"/>
        <v>AGRICOLA Y FORESTAL NAGUILAN S.A.</v>
      </c>
      <c r="E48" s="9" t="s">
        <v>28</v>
      </c>
      <c r="F48" s="7" t="s">
        <v>29</v>
      </c>
      <c r="G48" s="9"/>
      <c r="H48" s="9"/>
      <c r="I48" s="9"/>
      <c r="J48" s="9"/>
      <c r="K48" s="9"/>
      <c r="L48" s="8" t="s">
        <v>30</v>
      </c>
      <c r="M48" s="9"/>
      <c r="N48" s="9">
        <v>37.729999999999997</v>
      </c>
      <c r="O48" s="9"/>
      <c r="P48" s="10"/>
      <c r="Q48" s="9"/>
      <c r="R48" s="10"/>
      <c r="S48" s="7" t="s">
        <v>29</v>
      </c>
      <c r="T48" s="5"/>
      <c r="U48" s="5"/>
      <c r="V48" s="5"/>
      <c r="W48" s="7" t="s">
        <v>31</v>
      </c>
      <c r="X48" s="7" t="s">
        <v>32</v>
      </c>
    </row>
    <row r="49" spans="1:24" x14ac:dyDescent="0.25">
      <c r="A49" s="9">
        <v>5546</v>
      </c>
      <c r="B49" s="10">
        <v>45769.662534722222</v>
      </c>
      <c r="C49" s="7" t="s">
        <v>27</v>
      </c>
      <c r="D49" s="7" t="str">
        <f t="shared" si="1"/>
        <v>AGRICOLA Y FORESTAL NAGUILAN S.A.</v>
      </c>
      <c r="E49" s="9" t="s">
        <v>28</v>
      </c>
      <c r="F49" s="7" t="s">
        <v>29</v>
      </c>
      <c r="G49" s="9"/>
      <c r="H49" s="9"/>
      <c r="I49" s="9"/>
      <c r="J49" s="9"/>
      <c r="K49" s="9"/>
      <c r="L49" s="8" t="s">
        <v>30</v>
      </c>
      <c r="M49" s="9"/>
      <c r="N49" s="9">
        <v>36.887999999999998</v>
      </c>
      <c r="O49" s="9"/>
      <c r="P49" s="10"/>
      <c r="Q49" s="9"/>
      <c r="R49" s="10"/>
      <c r="S49" s="7" t="s">
        <v>29</v>
      </c>
      <c r="T49" s="5"/>
      <c r="U49" s="5"/>
      <c r="V49" s="5"/>
      <c r="W49" s="7" t="s">
        <v>31</v>
      </c>
      <c r="X49" s="7" t="s">
        <v>32</v>
      </c>
    </row>
    <row r="50" spans="1:24" x14ac:dyDescent="0.25">
      <c r="A50" s="9">
        <v>5547</v>
      </c>
      <c r="B50" s="10">
        <v>45770.33630787037</v>
      </c>
      <c r="C50" s="7" t="s">
        <v>27</v>
      </c>
      <c r="D50" s="7" t="str">
        <f t="shared" si="1"/>
        <v>AGRICOLA Y FORESTAL NAGUILAN S.A.</v>
      </c>
      <c r="E50" s="9" t="s">
        <v>28</v>
      </c>
      <c r="F50" s="7" t="s">
        <v>29</v>
      </c>
      <c r="G50" s="9"/>
      <c r="H50" s="9"/>
      <c r="I50" s="9"/>
      <c r="J50" s="9"/>
      <c r="K50" s="9"/>
      <c r="L50" s="8" t="s">
        <v>30</v>
      </c>
      <c r="M50" s="9"/>
      <c r="N50" s="9">
        <v>38.895000000000003</v>
      </c>
      <c r="O50" s="9"/>
      <c r="P50" s="10"/>
      <c r="Q50" s="9"/>
      <c r="R50" s="10"/>
      <c r="S50" s="7" t="s">
        <v>29</v>
      </c>
      <c r="T50" s="5"/>
      <c r="U50" s="5"/>
      <c r="V50" s="5"/>
      <c r="W50" s="7" t="s">
        <v>31</v>
      </c>
      <c r="X50" s="7" t="s">
        <v>32</v>
      </c>
    </row>
    <row r="51" spans="1:24" x14ac:dyDescent="0.25">
      <c r="A51" s="9">
        <v>5548</v>
      </c>
      <c r="B51" s="10">
        <v>45770.342870370368</v>
      </c>
      <c r="C51" s="7" t="s">
        <v>27</v>
      </c>
      <c r="D51" s="7" t="str">
        <f t="shared" si="1"/>
        <v>AGRICOLA Y FORESTAL NAGUILAN S.A.</v>
      </c>
      <c r="E51" s="9" t="s">
        <v>28</v>
      </c>
      <c r="F51" s="7" t="s">
        <v>29</v>
      </c>
      <c r="G51" s="9"/>
      <c r="H51" s="9"/>
      <c r="I51" s="9"/>
      <c r="J51" s="9"/>
      <c r="K51" s="9"/>
      <c r="L51" s="8" t="s">
        <v>30</v>
      </c>
      <c r="M51" s="9"/>
      <c r="N51" s="9">
        <v>38.53</v>
      </c>
      <c r="O51" s="9"/>
      <c r="P51" s="10"/>
      <c r="Q51" s="9"/>
      <c r="R51" s="10"/>
      <c r="S51" s="7" t="s">
        <v>29</v>
      </c>
      <c r="T51" s="5"/>
      <c r="U51" s="5"/>
      <c r="V51" s="5"/>
      <c r="W51" s="7" t="s">
        <v>31</v>
      </c>
      <c r="X51" s="7" t="s">
        <v>32</v>
      </c>
    </row>
    <row r="52" spans="1:24" x14ac:dyDescent="0.25">
      <c r="A52" s="9">
        <v>5549</v>
      </c>
      <c r="B52" s="10">
        <v>45770.438344907408</v>
      </c>
      <c r="C52" s="7" t="s">
        <v>27</v>
      </c>
      <c r="D52" s="7" t="str">
        <f t="shared" si="1"/>
        <v>AGRICOLA Y FORESTAL NAGUILAN S.A.</v>
      </c>
      <c r="E52" s="9" t="s">
        <v>28</v>
      </c>
      <c r="F52" s="7" t="s">
        <v>29</v>
      </c>
      <c r="G52" s="9"/>
      <c r="H52" s="9"/>
      <c r="I52" s="9"/>
      <c r="J52" s="9"/>
      <c r="K52" s="9"/>
      <c r="L52" s="8" t="s">
        <v>30</v>
      </c>
      <c r="M52" s="9"/>
      <c r="N52" s="9">
        <v>40.094000000000001</v>
      </c>
      <c r="O52" s="9"/>
      <c r="P52" s="10"/>
      <c r="Q52" s="9"/>
      <c r="R52" s="10"/>
      <c r="S52" s="7" t="s">
        <v>29</v>
      </c>
      <c r="T52" s="5"/>
      <c r="U52" s="5"/>
      <c r="V52" s="5"/>
      <c r="W52" s="7" t="s">
        <v>31</v>
      </c>
      <c r="X52" s="7" t="s">
        <v>32</v>
      </c>
    </row>
    <row r="53" spans="1:24" x14ac:dyDescent="0.25">
      <c r="A53" s="9">
        <v>5550</v>
      </c>
      <c r="B53" s="10">
        <v>45770.549826388888</v>
      </c>
      <c r="C53" s="7" t="s">
        <v>27</v>
      </c>
      <c r="D53" s="7" t="str">
        <f t="shared" si="1"/>
        <v>AGRICOLA Y FORESTAL NAGUILAN S.A.</v>
      </c>
      <c r="E53" s="9" t="s">
        <v>28</v>
      </c>
      <c r="F53" s="7" t="s">
        <v>29</v>
      </c>
      <c r="G53" s="9"/>
      <c r="H53" s="9"/>
      <c r="I53" s="9"/>
      <c r="J53" s="9"/>
      <c r="K53" s="9"/>
      <c r="L53" s="8" t="s">
        <v>30</v>
      </c>
      <c r="M53" s="9"/>
      <c r="N53" s="9">
        <v>40.47</v>
      </c>
      <c r="O53" s="9"/>
      <c r="P53" s="10"/>
      <c r="Q53" s="9"/>
      <c r="R53" s="10"/>
      <c r="S53" s="7" t="s">
        <v>29</v>
      </c>
      <c r="T53" s="5"/>
      <c r="U53" s="5"/>
      <c r="V53" s="5"/>
      <c r="W53" s="7" t="s">
        <v>31</v>
      </c>
      <c r="X53" s="7" t="s">
        <v>32</v>
      </c>
    </row>
    <row r="54" spans="1:24" x14ac:dyDescent="0.25">
      <c r="A54" s="9">
        <v>5551</v>
      </c>
      <c r="B54" s="10">
        <v>45771.340266203704</v>
      </c>
      <c r="C54" s="7" t="s">
        <v>27</v>
      </c>
      <c r="D54" s="7" t="str">
        <f t="shared" si="1"/>
        <v>AGRICOLA Y FORESTAL NAGUILAN S.A.</v>
      </c>
      <c r="E54" s="9" t="s">
        <v>28</v>
      </c>
      <c r="F54" s="7" t="s">
        <v>29</v>
      </c>
      <c r="G54" s="9"/>
      <c r="H54" s="9"/>
      <c r="I54" s="9"/>
      <c r="J54" s="9"/>
      <c r="K54" s="9"/>
      <c r="L54" s="8" t="s">
        <v>30</v>
      </c>
      <c r="M54" s="9"/>
      <c r="N54" s="9">
        <v>39.659999999999997</v>
      </c>
      <c r="O54" s="9"/>
      <c r="P54" s="10"/>
      <c r="Q54" s="9"/>
      <c r="R54" s="10"/>
      <c r="S54" s="7" t="s">
        <v>29</v>
      </c>
      <c r="T54" s="5"/>
      <c r="U54" s="5"/>
      <c r="V54" s="5"/>
      <c r="W54" s="7" t="s">
        <v>31</v>
      </c>
      <c r="X54" s="7" t="s">
        <v>32</v>
      </c>
    </row>
    <row r="55" spans="1:24" x14ac:dyDescent="0.25">
      <c r="A55" s="9">
        <v>5552</v>
      </c>
      <c r="B55" s="10">
        <v>45771.426377314812</v>
      </c>
      <c r="C55" s="7" t="s">
        <v>27</v>
      </c>
      <c r="D55" s="7" t="str">
        <f t="shared" si="1"/>
        <v>AGRICOLA Y FORESTAL NAGUILAN S.A.</v>
      </c>
      <c r="E55" s="9" t="s">
        <v>28</v>
      </c>
      <c r="F55" s="7" t="s">
        <v>29</v>
      </c>
      <c r="G55" s="9"/>
      <c r="H55" s="9"/>
      <c r="I55" s="9"/>
      <c r="J55" s="9"/>
      <c r="K55" s="9"/>
      <c r="L55" s="8" t="s">
        <v>30</v>
      </c>
      <c r="M55" s="9"/>
      <c r="N55" s="9">
        <v>39.194000000000003</v>
      </c>
      <c r="O55" s="9"/>
      <c r="P55" s="10"/>
      <c r="Q55" s="9"/>
      <c r="R55" s="10"/>
      <c r="S55" s="7" t="s">
        <v>29</v>
      </c>
      <c r="T55" s="5"/>
      <c r="U55" s="5"/>
      <c r="V55" s="5"/>
      <c r="W55" s="7" t="s">
        <v>31</v>
      </c>
      <c r="X55" s="7" t="s">
        <v>32</v>
      </c>
    </row>
    <row r="56" spans="1:24" x14ac:dyDescent="0.25">
      <c r="A56" s="9">
        <v>5553</v>
      </c>
      <c r="B56" s="10">
        <v>45771.535092592596</v>
      </c>
      <c r="C56" s="7" t="s">
        <v>27</v>
      </c>
      <c r="D56" s="7" t="str">
        <f t="shared" si="1"/>
        <v>AGRICOLA Y FORESTAL NAGUILAN S.A.</v>
      </c>
      <c r="E56" s="9" t="s">
        <v>28</v>
      </c>
      <c r="F56" s="7" t="s">
        <v>29</v>
      </c>
      <c r="G56" s="9"/>
      <c r="H56" s="9"/>
      <c r="I56" s="9"/>
      <c r="J56" s="9"/>
      <c r="K56" s="9"/>
      <c r="L56" s="8" t="s">
        <v>30</v>
      </c>
      <c r="M56" s="9"/>
      <c r="N56" s="9">
        <v>39.459000000000003</v>
      </c>
      <c r="O56" s="9"/>
      <c r="P56" s="10"/>
      <c r="Q56" s="9"/>
      <c r="R56" s="10"/>
      <c r="S56" s="7" t="s">
        <v>29</v>
      </c>
      <c r="T56" s="5"/>
      <c r="U56" s="5"/>
      <c r="V56" s="5"/>
      <c r="W56" s="7" t="s">
        <v>31</v>
      </c>
      <c r="X56" s="7" t="s">
        <v>32</v>
      </c>
    </row>
    <row r="57" spans="1:24" x14ac:dyDescent="0.25">
      <c r="A57" s="9">
        <v>5554</v>
      </c>
      <c r="B57" s="10">
        <v>45771.616782407407</v>
      </c>
      <c r="C57" s="7" t="s">
        <v>27</v>
      </c>
      <c r="D57" s="7" t="str">
        <f t="shared" si="1"/>
        <v>AGRICOLA Y FORESTAL NAGUILAN S.A.</v>
      </c>
      <c r="E57" s="9" t="s">
        <v>28</v>
      </c>
      <c r="F57" s="7" t="s">
        <v>29</v>
      </c>
      <c r="G57" s="9"/>
      <c r="H57" s="9"/>
      <c r="I57" s="9"/>
      <c r="J57" s="9"/>
      <c r="K57" s="9"/>
      <c r="L57" s="8" t="s">
        <v>30</v>
      </c>
      <c r="M57" s="9"/>
      <c r="N57" s="9">
        <v>40.991999999999997</v>
      </c>
      <c r="O57" s="9"/>
      <c r="P57" s="10"/>
      <c r="Q57" s="9"/>
      <c r="R57" s="10"/>
      <c r="S57" s="7" t="s">
        <v>29</v>
      </c>
      <c r="T57" s="5"/>
      <c r="U57" s="5"/>
      <c r="V57" s="5"/>
      <c r="W57" s="7" t="s">
        <v>31</v>
      </c>
      <c r="X57" s="7" t="s">
        <v>32</v>
      </c>
    </row>
    <row r="58" spans="1:24" x14ac:dyDescent="0.25">
      <c r="A58" s="9">
        <v>5555</v>
      </c>
      <c r="B58" s="10">
        <v>45775.31150462963</v>
      </c>
      <c r="C58" s="7" t="s">
        <v>27</v>
      </c>
      <c r="D58" s="7" t="str">
        <f t="shared" si="1"/>
        <v>AGRICOLA Y FORESTAL NAGUILAN S.A.</v>
      </c>
      <c r="E58" s="9" t="s">
        <v>28</v>
      </c>
      <c r="F58" s="7" t="s">
        <v>29</v>
      </c>
      <c r="G58" s="9"/>
      <c r="H58" s="9"/>
      <c r="I58" s="9"/>
      <c r="J58" s="9"/>
      <c r="K58" s="9"/>
      <c r="L58" s="8" t="s">
        <v>30</v>
      </c>
      <c r="M58" s="9"/>
      <c r="N58" s="9">
        <v>40.323999999999998</v>
      </c>
      <c r="O58" s="9"/>
      <c r="P58" s="10"/>
      <c r="Q58" s="9"/>
      <c r="R58" s="10"/>
      <c r="S58" s="7" t="s">
        <v>29</v>
      </c>
      <c r="T58" s="5"/>
      <c r="U58" s="5"/>
      <c r="V58" s="5"/>
      <c r="W58" s="7" t="s">
        <v>31</v>
      </c>
      <c r="X58" s="7" t="s">
        <v>32</v>
      </c>
    </row>
    <row r="59" spans="1:24" x14ac:dyDescent="0.25">
      <c r="A59" s="9">
        <v>5556</v>
      </c>
      <c r="B59" s="10">
        <v>45775.414884259262</v>
      </c>
      <c r="C59" s="7" t="s">
        <v>27</v>
      </c>
      <c r="D59" s="7" t="str">
        <f t="shared" si="1"/>
        <v>AGRICOLA Y FORESTAL NAGUILAN S.A.</v>
      </c>
      <c r="E59" s="9" t="s">
        <v>28</v>
      </c>
      <c r="F59" s="7" t="s">
        <v>29</v>
      </c>
      <c r="G59" s="9"/>
      <c r="H59" s="9"/>
      <c r="I59" s="9"/>
      <c r="J59" s="9"/>
      <c r="K59" s="9"/>
      <c r="L59" s="8" t="s">
        <v>30</v>
      </c>
      <c r="M59" s="9"/>
      <c r="N59" s="9">
        <v>39.387</v>
      </c>
      <c r="O59" s="9"/>
      <c r="P59" s="10"/>
      <c r="Q59" s="9"/>
      <c r="R59" s="10"/>
      <c r="S59" s="7" t="s">
        <v>29</v>
      </c>
      <c r="T59" s="5"/>
      <c r="U59" s="5"/>
      <c r="V59" s="5"/>
      <c r="W59" s="7" t="s">
        <v>31</v>
      </c>
      <c r="X59" s="7" t="s">
        <v>32</v>
      </c>
    </row>
    <row r="60" spans="1:24" x14ac:dyDescent="0.25">
      <c r="A60" s="9">
        <v>5557</v>
      </c>
      <c r="B60" s="10">
        <v>45775.501805555556</v>
      </c>
      <c r="C60" s="7" t="s">
        <v>27</v>
      </c>
      <c r="D60" s="7" t="str">
        <f t="shared" si="1"/>
        <v>AGRICOLA Y FORESTAL NAGUILAN S.A.</v>
      </c>
      <c r="E60" s="9" t="s">
        <v>28</v>
      </c>
      <c r="F60" s="7" t="s">
        <v>29</v>
      </c>
      <c r="G60" s="9"/>
      <c r="H60" s="9"/>
      <c r="I60" s="9"/>
      <c r="J60" s="9"/>
      <c r="K60" s="9"/>
      <c r="L60" s="8" t="s">
        <v>30</v>
      </c>
      <c r="M60" s="9"/>
      <c r="N60" s="9">
        <v>40.131999999999998</v>
      </c>
      <c r="O60" s="9"/>
      <c r="P60" s="10"/>
      <c r="Q60" s="9"/>
      <c r="R60" s="10"/>
      <c r="S60" s="7" t="s">
        <v>29</v>
      </c>
      <c r="T60" s="5"/>
      <c r="U60" s="5"/>
      <c r="V60" s="5"/>
      <c r="W60" s="7" t="s">
        <v>31</v>
      </c>
      <c r="X60" s="7" t="s">
        <v>32</v>
      </c>
    </row>
    <row r="61" spans="1:24" x14ac:dyDescent="0.25">
      <c r="A61" s="9">
        <v>5558</v>
      </c>
      <c r="B61" s="10">
        <v>45776.323530092595</v>
      </c>
      <c r="C61" s="7" t="s">
        <v>27</v>
      </c>
      <c r="D61" s="7" t="str">
        <f t="shared" si="1"/>
        <v>AGRICOLA Y FORESTAL NAGUILAN S.A.</v>
      </c>
      <c r="E61" s="9" t="s">
        <v>28</v>
      </c>
      <c r="F61" s="7" t="s">
        <v>29</v>
      </c>
      <c r="G61" s="9"/>
      <c r="H61" s="9"/>
      <c r="I61" s="9"/>
      <c r="J61" s="9"/>
      <c r="K61" s="9"/>
      <c r="L61" s="8" t="s">
        <v>30</v>
      </c>
      <c r="M61" s="9"/>
      <c r="N61" s="9">
        <v>39.526000000000003</v>
      </c>
      <c r="O61" s="9"/>
      <c r="P61" s="10"/>
      <c r="Q61" s="9"/>
      <c r="R61" s="10"/>
      <c r="S61" s="7" t="s">
        <v>29</v>
      </c>
      <c r="T61" s="5"/>
      <c r="U61" s="5"/>
      <c r="V61" s="5"/>
      <c r="W61" s="7" t="s">
        <v>31</v>
      </c>
      <c r="X61" s="7" t="s">
        <v>32</v>
      </c>
    </row>
    <row r="62" spans="1:24" x14ac:dyDescent="0.25">
      <c r="A62" s="9">
        <v>5559</v>
      </c>
      <c r="B62" s="10">
        <v>45776.421527777777</v>
      </c>
      <c r="C62" s="7" t="s">
        <v>27</v>
      </c>
      <c r="D62" s="7" t="str">
        <f t="shared" si="1"/>
        <v>AGRICOLA Y FORESTAL NAGUILAN S.A.</v>
      </c>
      <c r="E62" s="9" t="s">
        <v>28</v>
      </c>
      <c r="F62" s="7" t="s">
        <v>29</v>
      </c>
      <c r="G62" s="9"/>
      <c r="H62" s="9"/>
      <c r="I62" s="9"/>
      <c r="J62" s="9"/>
      <c r="K62" s="9"/>
      <c r="L62" s="8" t="s">
        <v>30</v>
      </c>
      <c r="M62" s="9"/>
      <c r="N62" s="9">
        <v>40.680999999999997</v>
      </c>
      <c r="O62" s="9"/>
      <c r="P62" s="10"/>
      <c r="Q62" s="9"/>
      <c r="R62" s="10"/>
      <c r="S62" s="7" t="s">
        <v>29</v>
      </c>
      <c r="T62" s="5"/>
      <c r="U62" s="5"/>
      <c r="V62" s="5"/>
      <c r="W62" s="7" t="s">
        <v>31</v>
      </c>
      <c r="X62" s="7" t="s">
        <v>32</v>
      </c>
    </row>
    <row r="63" spans="1:24" x14ac:dyDescent="0.25">
      <c r="A63" s="9">
        <v>5560</v>
      </c>
      <c r="B63" s="10">
        <v>45776.537731481483</v>
      </c>
      <c r="C63" s="7" t="s">
        <v>27</v>
      </c>
      <c r="D63" s="7" t="str">
        <f t="shared" si="1"/>
        <v>AGRICOLA Y FORESTAL NAGUILAN S.A.</v>
      </c>
      <c r="E63" s="9" t="s">
        <v>28</v>
      </c>
      <c r="F63" s="7" t="s">
        <v>29</v>
      </c>
      <c r="G63" s="9"/>
      <c r="H63" s="9"/>
      <c r="I63" s="9"/>
      <c r="J63" s="9"/>
      <c r="K63" s="9"/>
      <c r="L63" s="8" t="s">
        <v>30</v>
      </c>
      <c r="M63" s="9"/>
      <c r="N63" s="9">
        <v>40.008000000000003</v>
      </c>
      <c r="O63" s="9"/>
      <c r="P63" s="10"/>
      <c r="Q63" s="9"/>
      <c r="R63" s="10"/>
      <c r="S63" s="7" t="s">
        <v>29</v>
      </c>
      <c r="T63" s="5"/>
      <c r="U63" s="5"/>
      <c r="V63" s="5"/>
      <c r="W63" s="7" t="s">
        <v>31</v>
      </c>
      <c r="X63" s="7" t="s">
        <v>32</v>
      </c>
    </row>
    <row r="64" spans="1:24" x14ac:dyDescent="0.25">
      <c r="A64" s="9">
        <v>5561</v>
      </c>
      <c r="B64" s="10">
        <v>45776.634189814817</v>
      </c>
      <c r="C64" s="7" t="s">
        <v>27</v>
      </c>
      <c r="D64" s="7" t="str">
        <f t="shared" si="1"/>
        <v>AGRICOLA Y FORESTAL NAGUILAN S.A.</v>
      </c>
      <c r="E64" s="9" t="s">
        <v>28</v>
      </c>
      <c r="F64" s="7" t="s">
        <v>29</v>
      </c>
      <c r="G64" s="9"/>
      <c r="H64" s="9"/>
      <c r="I64" s="9"/>
      <c r="J64" s="9"/>
      <c r="K64" s="9"/>
      <c r="L64" s="8" t="s">
        <v>30</v>
      </c>
      <c r="M64" s="9"/>
      <c r="N64" s="9">
        <v>39.896000000000001</v>
      </c>
      <c r="O64" s="9"/>
      <c r="P64" s="10"/>
      <c r="Q64" s="9"/>
      <c r="R64" s="10"/>
      <c r="S64" s="7" t="s">
        <v>29</v>
      </c>
      <c r="T64" s="5"/>
      <c r="U64" s="5"/>
      <c r="V64" s="5"/>
      <c r="W64" s="7" t="s">
        <v>31</v>
      </c>
      <c r="X64" s="7" t="s">
        <v>32</v>
      </c>
    </row>
    <row r="65" spans="1:24" x14ac:dyDescent="0.25">
      <c r="A65" s="9">
        <v>5562</v>
      </c>
      <c r="B65" s="10">
        <v>45777.319791666669</v>
      </c>
      <c r="C65" s="7" t="s">
        <v>27</v>
      </c>
      <c r="D65" s="7" t="str">
        <f t="shared" si="1"/>
        <v>AGRICOLA Y FORESTAL NAGUILAN S.A.</v>
      </c>
      <c r="E65" s="9" t="s">
        <v>28</v>
      </c>
      <c r="F65" s="7" t="s">
        <v>29</v>
      </c>
      <c r="G65" s="9"/>
      <c r="H65" s="9"/>
      <c r="I65" s="9"/>
      <c r="J65" s="9"/>
      <c r="K65" s="9"/>
      <c r="L65" s="8" t="s">
        <v>30</v>
      </c>
      <c r="M65" s="9"/>
      <c r="N65" s="9">
        <v>39.838000000000001</v>
      </c>
      <c r="O65" s="9"/>
      <c r="P65" s="10"/>
      <c r="Q65" s="9"/>
      <c r="R65" s="10"/>
      <c r="S65" s="7" t="s">
        <v>29</v>
      </c>
      <c r="T65" s="5"/>
      <c r="U65" s="5"/>
      <c r="V65" s="5"/>
      <c r="W65" s="7" t="s">
        <v>31</v>
      </c>
      <c r="X65" s="7" t="s">
        <v>32</v>
      </c>
    </row>
    <row r="66" spans="1:24" x14ac:dyDescent="0.25">
      <c r="N66">
        <f>SUM(N2:N65)</f>
        <v>2508.6489999999999</v>
      </c>
    </row>
  </sheetData>
  <sortState xmlns:xlrd2="http://schemas.microsoft.com/office/spreadsheetml/2017/richdata2" ref="A2:X242">
    <sortCondition ref="B2:B242"/>
  </sortState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jpiza</dc:creator>
  <cp:lastModifiedBy>Luciano Emanuel Alfredo Oñate Venegas</cp:lastModifiedBy>
  <dcterms:created xsi:type="dcterms:W3CDTF">2025-05-30T13:57:55Z</dcterms:created>
  <dcterms:modified xsi:type="dcterms:W3CDTF">2025-07-19T04:11:01Z</dcterms:modified>
</cp:coreProperties>
</file>